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28545" windowHeight="12660" tabRatio="935"/>
  </bookViews>
  <sheets>
    <sheet name="Итог" sheetId="5" r:id="rId1"/>
    <sheet name="условия пусков" sheetId="26" r:id="rId2"/>
    <sheet name="240-6" sheetId="30" r:id="rId3"/>
    <sheet name="240-7__4 ркеты" sheetId="29" r:id="rId4"/>
    <sheet name="240-8" sheetId="28" r:id="rId5"/>
    <sheet name="240-9" sheetId="27" r:id="rId6"/>
    <sheet name="241-1" sheetId="23" r:id="rId7"/>
    <sheet name="241-2__6 ракет" sheetId="25" r:id="rId8"/>
    <sheet name="242-1" sheetId="21" r:id="rId9"/>
    <sheet name="242-2" sheetId="20" r:id="rId10"/>
    <sheet name="242-3" sheetId="22" r:id="rId11"/>
    <sheet name="243-1  " sheetId="19" r:id="rId12"/>
    <sheet name="243-2" sheetId="17" r:id="rId13"/>
    <sheet name="243-3 " sheetId="18" r:id="rId14"/>
    <sheet name="243-4" sheetId="16" r:id="rId15"/>
    <sheet name="шаблон" sheetId="13" r:id="rId16"/>
  </sheets>
  <calcPr calcId="125725"/>
</workbook>
</file>

<file path=xl/calcChain.xml><?xml version="1.0" encoding="utf-8"?>
<calcChain xmlns="http://schemas.openxmlformats.org/spreadsheetml/2006/main">
  <c r="AI85" i="5"/>
  <c r="AG85"/>
  <c r="AE85"/>
  <c r="BG91"/>
  <c r="BQ91"/>
  <c r="BO91"/>
  <c r="BM91"/>
  <c r="BK91"/>
  <c r="BE91"/>
  <c r="BC91"/>
  <c r="BA91"/>
  <c r="AY91"/>
  <c r="AW91"/>
  <c r="AU91"/>
  <c r="AQ91"/>
  <c r="W89"/>
  <c r="U89"/>
  <c r="S89"/>
  <c r="Q89"/>
  <c r="O89"/>
  <c r="M89"/>
  <c r="K89"/>
  <c r="I89"/>
  <c r="G89"/>
  <c r="E89"/>
  <c r="E87"/>
  <c r="K87"/>
  <c r="W87"/>
  <c r="Y87"/>
  <c r="AA87"/>
  <c r="AC87"/>
  <c r="BR91"/>
  <c r="BP91"/>
  <c r="BN91"/>
  <c r="BL91"/>
  <c r="BH91"/>
  <c r="BF91"/>
  <c r="BD91"/>
  <c r="BB91"/>
  <c r="AZ91"/>
  <c r="AX91"/>
  <c r="AV91"/>
  <c r="AR91"/>
  <c r="J89"/>
  <c r="H89"/>
  <c r="H85"/>
  <c r="G85"/>
  <c r="I87"/>
  <c r="I85"/>
  <c r="J87"/>
  <c r="J85"/>
  <c r="F89"/>
  <c r="F87"/>
  <c r="F85"/>
  <c r="E85"/>
  <c r="X85"/>
  <c r="W85"/>
  <c r="X89"/>
  <c r="V89"/>
  <c r="T89"/>
  <c r="R89"/>
  <c r="P89"/>
  <c r="N89"/>
  <c r="L89"/>
  <c r="N85"/>
  <c r="M85"/>
  <c r="L87"/>
  <c r="L85"/>
  <c r="K85"/>
  <c r="AD87"/>
  <c r="AB87"/>
  <c r="Z87"/>
  <c r="AD85"/>
  <c r="AC85"/>
  <c r="AB85"/>
  <c r="AA85"/>
  <c r="Z85"/>
  <c r="Y85"/>
  <c r="X87"/>
  <c r="AH85"/>
  <c r="AJ85"/>
  <c r="AF85"/>
  <c r="W12"/>
  <c r="V12"/>
  <c r="U12"/>
  <c r="T12"/>
  <c r="S12"/>
  <c r="R12"/>
  <c r="Q12"/>
  <c r="P12"/>
  <c r="O12"/>
  <c r="N12"/>
  <c r="M12"/>
  <c r="L12"/>
  <c r="K12"/>
  <c r="BF14"/>
  <c r="BE14"/>
  <c r="BD14"/>
  <c r="BC14"/>
  <c r="BB14"/>
  <c r="BA14"/>
  <c r="AX14"/>
  <c r="AW14"/>
  <c r="AZ14"/>
  <c r="AY14"/>
  <c r="BH14"/>
  <c r="BG14"/>
  <c r="BR14"/>
  <c r="BQ14"/>
  <c r="BP14"/>
  <c r="BO14"/>
  <c r="BN14"/>
  <c r="BM14"/>
  <c r="BL14"/>
  <c r="BK14"/>
  <c r="AV14"/>
  <c r="AU14"/>
  <c r="AR14"/>
  <c r="AQ14"/>
  <c r="X12"/>
  <c r="J4" i="25"/>
  <c r="I4"/>
  <c r="AI38"/>
  <c r="AI12"/>
  <c r="I90"/>
  <c r="I64"/>
  <c r="I38"/>
  <c r="I12"/>
  <c r="J12"/>
  <c r="J90"/>
  <c r="AO38"/>
  <c r="AO12"/>
  <c r="AD61"/>
  <c r="AE61" s="1"/>
  <c r="AE60"/>
  <c r="AG60" s="1"/>
  <c r="AK60" s="1"/>
  <c r="AM60" s="1"/>
  <c r="AD60"/>
  <c r="AF60" s="1"/>
  <c r="AD59"/>
  <c r="AE59" s="1"/>
  <c r="AD58"/>
  <c r="AE58" s="1"/>
  <c r="AD57"/>
  <c r="AE57" s="1"/>
  <c r="AE56"/>
  <c r="AD56"/>
  <c r="AF56" s="1"/>
  <c r="AD55"/>
  <c r="AE55" s="1"/>
  <c r="AE54"/>
  <c r="AH54" s="1"/>
  <c r="AD54"/>
  <c r="AF54" s="1"/>
  <c r="AG54" s="1"/>
  <c r="AF53"/>
  <c r="AG53" s="1"/>
  <c r="AK53" s="1"/>
  <c r="AM53" s="1"/>
  <c r="AE53"/>
  <c r="AH53" s="1"/>
  <c r="AL53" s="1"/>
  <c r="AN53" s="1"/>
  <c r="AD53"/>
  <c r="AD52"/>
  <c r="AD51"/>
  <c r="AE51" s="1"/>
  <c r="AE50"/>
  <c r="AD50"/>
  <c r="AF49"/>
  <c r="AG49" s="1"/>
  <c r="AK49" s="1"/>
  <c r="AM49" s="1"/>
  <c r="AE49"/>
  <c r="AH49" s="1"/>
  <c r="AL49" s="1"/>
  <c r="AN49" s="1"/>
  <c r="AD49"/>
  <c r="AD48"/>
  <c r="AD47"/>
  <c r="AE47" s="1"/>
  <c r="AE46"/>
  <c r="AD46"/>
  <c r="AF45"/>
  <c r="AG45" s="1"/>
  <c r="AK45" s="1"/>
  <c r="AM45" s="1"/>
  <c r="AE45"/>
  <c r="AH45" s="1"/>
  <c r="AL45" s="1"/>
  <c r="AN45" s="1"/>
  <c r="AD45"/>
  <c r="AD44"/>
  <c r="AD43"/>
  <c r="AE43" s="1"/>
  <c r="AE42"/>
  <c r="AD42"/>
  <c r="AF41"/>
  <c r="AG41" s="1"/>
  <c r="AK41" s="1"/>
  <c r="AM41" s="1"/>
  <c r="AE41"/>
  <c r="AH41" s="1"/>
  <c r="AL41" s="1"/>
  <c r="AN41" s="1"/>
  <c r="AD41"/>
  <c r="AD40"/>
  <c r="AD39"/>
  <c r="AE39" s="1"/>
  <c r="AD38"/>
  <c r="AE38" s="1"/>
  <c r="AD35"/>
  <c r="AE35" s="1"/>
  <c r="AD34"/>
  <c r="AE34" s="1"/>
  <c r="AD33"/>
  <c r="AD32"/>
  <c r="AE32" s="1"/>
  <c r="AD31"/>
  <c r="AE31" s="1"/>
  <c r="AD30"/>
  <c r="AE30" s="1"/>
  <c r="AD29"/>
  <c r="AD28"/>
  <c r="AE28" s="1"/>
  <c r="AD20"/>
  <c r="AE20" s="1"/>
  <c r="AD27"/>
  <c r="AE27" s="1"/>
  <c r="AD25"/>
  <c r="AD24"/>
  <c r="AE24" s="1"/>
  <c r="AD22"/>
  <c r="AE22" s="1"/>
  <c r="AD26"/>
  <c r="AE26" s="1"/>
  <c r="AD23"/>
  <c r="AD21"/>
  <c r="AE21" s="1"/>
  <c r="AD19"/>
  <c r="AD18"/>
  <c r="AE18" s="1"/>
  <c r="AD17"/>
  <c r="AD15"/>
  <c r="AE15" s="1"/>
  <c r="AE16"/>
  <c r="AD16"/>
  <c r="AD14"/>
  <c r="AE14" s="1"/>
  <c r="AD13"/>
  <c r="AD12"/>
  <c r="J12" i="5"/>
  <c r="I12"/>
  <c r="H12"/>
  <c r="G12"/>
  <c r="F12"/>
  <c r="E12"/>
  <c r="AD10"/>
  <c r="AB10"/>
  <c r="Z10"/>
  <c r="AC10"/>
  <c r="AA10"/>
  <c r="Y10"/>
  <c r="I12" i="22"/>
  <c r="J38"/>
  <c r="I38"/>
  <c r="X10" i="5"/>
  <c r="W10"/>
  <c r="L10"/>
  <c r="K10"/>
  <c r="J10"/>
  <c r="I10"/>
  <c r="J4" i="21"/>
  <c r="I4"/>
  <c r="F10" i="5"/>
  <c r="E10"/>
  <c r="AJ8"/>
  <c r="AI8"/>
  <c r="AH8"/>
  <c r="AG8"/>
  <c r="AF8"/>
  <c r="AE8"/>
  <c r="AD8"/>
  <c r="AC8"/>
  <c r="AB8"/>
  <c r="AA8"/>
  <c r="Z8"/>
  <c r="Y8"/>
  <c r="J8"/>
  <c r="I8"/>
  <c r="I49" i="26"/>
  <c r="J4" i="20"/>
  <c r="I38"/>
  <c r="I4"/>
  <c r="J4" i="28"/>
  <c r="I4"/>
  <c r="J4" i="29"/>
  <c r="I4"/>
  <c r="C6"/>
  <c r="J90"/>
  <c r="I90"/>
  <c r="J64"/>
  <c r="I64"/>
  <c r="O90"/>
  <c r="D76"/>
  <c r="D113"/>
  <c r="E113" s="1"/>
  <c r="D112"/>
  <c r="E110"/>
  <c r="D110"/>
  <c r="D109"/>
  <c r="E109" s="1"/>
  <c r="D107"/>
  <c r="E107" s="1"/>
  <c r="D106"/>
  <c r="D102"/>
  <c r="E102" s="1"/>
  <c r="D96"/>
  <c r="E96" s="1"/>
  <c r="D95"/>
  <c r="E95" s="1"/>
  <c r="D94"/>
  <c r="D111"/>
  <c r="E111" s="1"/>
  <c r="D98"/>
  <c r="E98" s="1"/>
  <c r="D108"/>
  <c r="E108" s="1"/>
  <c r="D99"/>
  <c r="D104"/>
  <c r="E104" s="1"/>
  <c r="D101"/>
  <c r="E101" s="1"/>
  <c r="D105"/>
  <c r="E105" s="1"/>
  <c r="D97"/>
  <c r="D103"/>
  <c r="E103" s="1"/>
  <c r="D100"/>
  <c r="E100" s="1"/>
  <c r="D93"/>
  <c r="E93" s="1"/>
  <c r="D90"/>
  <c r="D92"/>
  <c r="E92" s="1"/>
  <c r="D91"/>
  <c r="E91" s="1"/>
  <c r="J4" i="13"/>
  <c r="I4"/>
  <c r="J4" i="30"/>
  <c r="I4"/>
  <c r="J12"/>
  <c r="I12"/>
  <c r="G12"/>
  <c r="N61"/>
  <c r="M61"/>
  <c r="L61"/>
  <c r="K61"/>
  <c r="H61"/>
  <c r="G61"/>
  <c r="F61"/>
  <c r="E61"/>
  <c r="D61"/>
  <c r="N60"/>
  <c r="M60"/>
  <c r="L60"/>
  <c r="K60"/>
  <c r="H60"/>
  <c r="G60"/>
  <c r="F60"/>
  <c r="E60"/>
  <c r="D60"/>
  <c r="N59"/>
  <c r="M59"/>
  <c r="L59"/>
  <c r="K59"/>
  <c r="H59"/>
  <c r="G59"/>
  <c r="F59"/>
  <c r="E59"/>
  <c r="D59"/>
  <c r="N58"/>
  <c r="M58"/>
  <c r="L58"/>
  <c r="K58"/>
  <c r="H58"/>
  <c r="G58"/>
  <c r="F58"/>
  <c r="E58"/>
  <c r="D58"/>
  <c r="N57"/>
  <c r="M57"/>
  <c r="L57"/>
  <c r="K57"/>
  <c r="H57"/>
  <c r="G57"/>
  <c r="F57"/>
  <c r="E57"/>
  <c r="D57"/>
  <c r="N56"/>
  <c r="M56"/>
  <c r="L56"/>
  <c r="K56"/>
  <c r="H56"/>
  <c r="G56"/>
  <c r="F56"/>
  <c r="E56"/>
  <c r="D56"/>
  <c r="N55"/>
  <c r="M55"/>
  <c r="L55"/>
  <c r="K55"/>
  <c r="H55"/>
  <c r="G55"/>
  <c r="F55"/>
  <c r="E55"/>
  <c r="D55"/>
  <c r="N54"/>
  <c r="M54"/>
  <c r="L54"/>
  <c r="K54"/>
  <c r="H54"/>
  <c r="G54"/>
  <c r="F54"/>
  <c r="E54"/>
  <c r="D54"/>
  <c r="N53"/>
  <c r="M53"/>
  <c r="L53"/>
  <c r="K53"/>
  <c r="H53"/>
  <c r="G53"/>
  <c r="F53"/>
  <c r="E53"/>
  <c r="D53"/>
  <c r="N52"/>
  <c r="M52"/>
  <c r="L52"/>
  <c r="K52"/>
  <c r="H52"/>
  <c r="G52"/>
  <c r="F52"/>
  <c r="E52"/>
  <c r="D52"/>
  <c r="N51"/>
  <c r="M51"/>
  <c r="L51"/>
  <c r="K51"/>
  <c r="H51"/>
  <c r="G51"/>
  <c r="F51"/>
  <c r="E51"/>
  <c r="D51"/>
  <c r="N50"/>
  <c r="M50"/>
  <c r="L50"/>
  <c r="K50"/>
  <c r="H50"/>
  <c r="G50"/>
  <c r="F50"/>
  <c r="E50"/>
  <c r="D50"/>
  <c r="N49"/>
  <c r="M49"/>
  <c r="L49"/>
  <c r="K49"/>
  <c r="H49"/>
  <c r="G49"/>
  <c r="F49"/>
  <c r="E49"/>
  <c r="D49"/>
  <c r="N48"/>
  <c r="M48"/>
  <c r="L48"/>
  <c r="K48"/>
  <c r="H48"/>
  <c r="G48"/>
  <c r="F48"/>
  <c r="E48"/>
  <c r="D48"/>
  <c r="N47"/>
  <c r="M47"/>
  <c r="L47"/>
  <c r="K47"/>
  <c r="H47"/>
  <c r="G47"/>
  <c r="F47"/>
  <c r="E47"/>
  <c r="D47"/>
  <c r="N46"/>
  <c r="M46"/>
  <c r="L46"/>
  <c r="K46"/>
  <c r="H46"/>
  <c r="G46"/>
  <c r="F46"/>
  <c r="E46"/>
  <c r="D46"/>
  <c r="N45"/>
  <c r="M45"/>
  <c r="L45"/>
  <c r="K45"/>
  <c r="H45"/>
  <c r="G45"/>
  <c r="F45"/>
  <c r="E45"/>
  <c r="D45"/>
  <c r="N44"/>
  <c r="M44"/>
  <c r="L44"/>
  <c r="K44"/>
  <c r="H44"/>
  <c r="G44"/>
  <c r="F44"/>
  <c r="E44"/>
  <c r="D44"/>
  <c r="N43"/>
  <c r="M43"/>
  <c r="L43"/>
  <c r="K43"/>
  <c r="H43"/>
  <c r="G43"/>
  <c r="F43"/>
  <c r="E43"/>
  <c r="D43"/>
  <c r="N42"/>
  <c r="M42"/>
  <c r="L42"/>
  <c r="K42"/>
  <c r="H42"/>
  <c r="G42"/>
  <c r="F42"/>
  <c r="E42"/>
  <c r="D42"/>
  <c r="N41"/>
  <c r="M41"/>
  <c r="L41"/>
  <c r="K41"/>
  <c r="H41"/>
  <c r="G41"/>
  <c r="F41"/>
  <c r="E41"/>
  <c r="D41"/>
  <c r="N40"/>
  <c r="M40"/>
  <c r="L40"/>
  <c r="K40"/>
  <c r="H40"/>
  <c r="G40"/>
  <c r="F40"/>
  <c r="E40"/>
  <c r="D40"/>
  <c r="N39"/>
  <c r="M39"/>
  <c r="L39"/>
  <c r="K39"/>
  <c r="H39"/>
  <c r="G39"/>
  <c r="F39"/>
  <c r="E39"/>
  <c r="D39"/>
  <c r="O38"/>
  <c r="N38"/>
  <c r="M38"/>
  <c r="L38"/>
  <c r="K38"/>
  <c r="H38"/>
  <c r="J38" s="1"/>
  <c r="G38"/>
  <c r="I38" s="1"/>
  <c r="F38"/>
  <c r="E38"/>
  <c r="D38"/>
  <c r="N35"/>
  <c r="M35"/>
  <c r="L35"/>
  <c r="K35"/>
  <c r="H35"/>
  <c r="G35"/>
  <c r="F35"/>
  <c r="E35"/>
  <c r="D35"/>
  <c r="E34"/>
  <c r="G34" s="1"/>
  <c r="D34"/>
  <c r="F34" s="1"/>
  <c r="D33"/>
  <c r="E33" s="1"/>
  <c r="E32"/>
  <c r="F32" s="1"/>
  <c r="D32"/>
  <c r="D31"/>
  <c r="D30"/>
  <c r="E30" s="1"/>
  <c r="D29"/>
  <c r="E29" s="1"/>
  <c r="E28"/>
  <c r="F28" s="1"/>
  <c r="G28" s="1"/>
  <c r="D28"/>
  <c r="D27"/>
  <c r="D26"/>
  <c r="E26" s="1"/>
  <c r="E25"/>
  <c r="D25"/>
  <c r="F24"/>
  <c r="E24"/>
  <c r="G24" s="1"/>
  <c r="D24"/>
  <c r="D23"/>
  <c r="D22"/>
  <c r="E22" s="1"/>
  <c r="D21"/>
  <c r="E21" s="1"/>
  <c r="E20"/>
  <c r="F20" s="1"/>
  <c r="D20"/>
  <c r="D19"/>
  <c r="D18"/>
  <c r="E18" s="1"/>
  <c r="F17"/>
  <c r="E17"/>
  <c r="H17" s="1"/>
  <c r="D17"/>
  <c r="G16"/>
  <c r="F16"/>
  <c r="E16"/>
  <c r="H16" s="1"/>
  <c r="D16"/>
  <c r="D15"/>
  <c r="D14"/>
  <c r="E14" s="1"/>
  <c r="E13"/>
  <c r="D13"/>
  <c r="O12"/>
  <c r="F12"/>
  <c r="E12"/>
  <c r="H12" s="1"/>
  <c r="D12"/>
  <c r="D65" i="29"/>
  <c r="E65" s="1"/>
  <c r="F65" s="1"/>
  <c r="D71"/>
  <c r="D69"/>
  <c r="E69" s="1"/>
  <c r="D66"/>
  <c r="D64"/>
  <c r="D67"/>
  <c r="E68"/>
  <c r="D68"/>
  <c r="D70"/>
  <c r="E70" s="1"/>
  <c r="E72"/>
  <c r="F72" s="1"/>
  <c r="D72"/>
  <c r="D73"/>
  <c r="D74"/>
  <c r="E74" s="1"/>
  <c r="D75"/>
  <c r="D77"/>
  <c r="D78"/>
  <c r="E78" s="1"/>
  <c r="D84"/>
  <c r="E84" s="1"/>
  <c r="D85"/>
  <c r="E85" s="1"/>
  <c r="D87"/>
  <c r="D86"/>
  <c r="E86" s="1"/>
  <c r="D83"/>
  <c r="D82"/>
  <c r="E82" s="1"/>
  <c r="D79"/>
  <c r="D81"/>
  <c r="E81" s="1"/>
  <c r="E80"/>
  <c r="D80"/>
  <c r="D42"/>
  <c r="E42" s="1"/>
  <c r="F42" s="1"/>
  <c r="D43"/>
  <c r="E43" s="1"/>
  <c r="D46"/>
  <c r="E46" s="1"/>
  <c r="D44"/>
  <c r="E44" s="1"/>
  <c r="D38"/>
  <c r="D59"/>
  <c r="D50"/>
  <c r="E50" s="1"/>
  <c r="D39"/>
  <c r="E39" s="1"/>
  <c r="D41"/>
  <c r="E41" s="1"/>
  <c r="F41" s="1"/>
  <c r="D40"/>
  <c r="D45"/>
  <c r="E45" s="1"/>
  <c r="D47"/>
  <c r="E47" s="1"/>
  <c r="D48"/>
  <c r="E48" s="1"/>
  <c r="F48" s="1"/>
  <c r="D61"/>
  <c r="D60"/>
  <c r="E60" s="1"/>
  <c r="D52"/>
  <c r="E52" s="1"/>
  <c r="D57"/>
  <c r="E57" s="1"/>
  <c r="F57" s="1"/>
  <c r="D54"/>
  <c r="D55"/>
  <c r="E55" s="1"/>
  <c r="D56"/>
  <c r="E56" s="1"/>
  <c r="D53"/>
  <c r="E53" s="1"/>
  <c r="F53" s="1"/>
  <c r="D58"/>
  <c r="D49"/>
  <c r="E49" s="1"/>
  <c r="O38"/>
  <c r="D51"/>
  <c r="E51" s="1"/>
  <c r="F51" s="1"/>
  <c r="D13"/>
  <c r="D12"/>
  <c r="E12" s="1"/>
  <c r="D14"/>
  <c r="E14" s="1"/>
  <c r="D15"/>
  <c r="E15" s="1"/>
  <c r="F15" s="1"/>
  <c r="D17"/>
  <c r="D16"/>
  <c r="E16" s="1"/>
  <c r="D20"/>
  <c r="E20" s="1"/>
  <c r="D18"/>
  <c r="E18" s="1"/>
  <c r="D19"/>
  <c r="D21"/>
  <c r="E21" s="1"/>
  <c r="D22"/>
  <c r="E22" s="1"/>
  <c r="D23"/>
  <c r="E23" s="1"/>
  <c r="F23" s="1"/>
  <c r="D24"/>
  <c r="D25"/>
  <c r="E25" s="1"/>
  <c r="D26"/>
  <c r="E26" s="1"/>
  <c r="E27"/>
  <c r="F27" s="1"/>
  <c r="D27"/>
  <c r="D28"/>
  <c r="D29"/>
  <c r="E29" s="1"/>
  <c r="D30"/>
  <c r="E30" s="1"/>
  <c r="D31"/>
  <c r="E31" s="1"/>
  <c r="D32"/>
  <c r="D34"/>
  <c r="E34" s="1"/>
  <c r="D35"/>
  <c r="E35" s="1"/>
  <c r="O12"/>
  <c r="D33"/>
  <c r="E33" s="1"/>
  <c r="J12" i="28"/>
  <c r="I12"/>
  <c r="N61"/>
  <c r="M61"/>
  <c r="L61"/>
  <c r="K61"/>
  <c r="H61"/>
  <c r="G61"/>
  <c r="F61"/>
  <c r="E61"/>
  <c r="D61"/>
  <c r="N60"/>
  <c r="M60"/>
  <c r="L60"/>
  <c r="K60"/>
  <c r="H60"/>
  <c r="G60"/>
  <c r="F60"/>
  <c r="E60"/>
  <c r="D60"/>
  <c r="N59"/>
  <c r="M59"/>
  <c r="L59"/>
  <c r="K59"/>
  <c r="H59"/>
  <c r="G59"/>
  <c r="F59"/>
  <c r="E59"/>
  <c r="D59"/>
  <c r="N58"/>
  <c r="M58"/>
  <c r="L58"/>
  <c r="K58"/>
  <c r="H58"/>
  <c r="G58"/>
  <c r="F58"/>
  <c r="E58"/>
  <c r="D58"/>
  <c r="N57"/>
  <c r="M57"/>
  <c r="L57"/>
  <c r="K57"/>
  <c r="H57"/>
  <c r="G57"/>
  <c r="F57"/>
  <c r="E57"/>
  <c r="D57"/>
  <c r="N56"/>
  <c r="M56"/>
  <c r="L56"/>
  <c r="K56"/>
  <c r="H56"/>
  <c r="G56"/>
  <c r="F56"/>
  <c r="E56"/>
  <c r="D56"/>
  <c r="N55"/>
  <c r="M55"/>
  <c r="L55"/>
  <c r="K55"/>
  <c r="H55"/>
  <c r="G55"/>
  <c r="F55"/>
  <c r="E55"/>
  <c r="D55"/>
  <c r="N54"/>
  <c r="M54"/>
  <c r="L54"/>
  <c r="K54"/>
  <c r="H54"/>
  <c r="G54"/>
  <c r="F54"/>
  <c r="E54"/>
  <c r="D54"/>
  <c r="N53"/>
  <c r="M53"/>
  <c r="L53"/>
  <c r="K53"/>
  <c r="H53"/>
  <c r="G53"/>
  <c r="F53"/>
  <c r="E53"/>
  <c r="D53"/>
  <c r="N52"/>
  <c r="M52"/>
  <c r="L52"/>
  <c r="K52"/>
  <c r="H52"/>
  <c r="G52"/>
  <c r="F52"/>
  <c r="E52"/>
  <c r="D52"/>
  <c r="N51"/>
  <c r="M51"/>
  <c r="L51"/>
  <c r="K51"/>
  <c r="H51"/>
  <c r="G51"/>
  <c r="F51"/>
  <c r="E51"/>
  <c r="D51"/>
  <c r="N50"/>
  <c r="M50"/>
  <c r="L50"/>
  <c r="K50"/>
  <c r="H50"/>
  <c r="G50"/>
  <c r="F50"/>
  <c r="E50"/>
  <c r="D50"/>
  <c r="N49"/>
  <c r="M49"/>
  <c r="L49"/>
  <c r="K49"/>
  <c r="H49"/>
  <c r="G49"/>
  <c r="F49"/>
  <c r="E49"/>
  <c r="D49"/>
  <c r="N48"/>
  <c r="M48"/>
  <c r="L48"/>
  <c r="K48"/>
  <c r="H48"/>
  <c r="G48"/>
  <c r="F48"/>
  <c r="E48"/>
  <c r="D48"/>
  <c r="N47"/>
  <c r="M47"/>
  <c r="L47"/>
  <c r="K47"/>
  <c r="H47"/>
  <c r="G47"/>
  <c r="F47"/>
  <c r="E47"/>
  <c r="D47"/>
  <c r="N46"/>
  <c r="M46"/>
  <c r="L46"/>
  <c r="K46"/>
  <c r="H46"/>
  <c r="G46"/>
  <c r="F46"/>
  <c r="E46"/>
  <c r="D46"/>
  <c r="N45"/>
  <c r="M45"/>
  <c r="L45"/>
  <c r="K45"/>
  <c r="H45"/>
  <c r="G45"/>
  <c r="F45"/>
  <c r="E45"/>
  <c r="D45"/>
  <c r="N44"/>
  <c r="M44"/>
  <c r="L44"/>
  <c r="K44"/>
  <c r="H44"/>
  <c r="G44"/>
  <c r="F44"/>
  <c r="E44"/>
  <c r="D44"/>
  <c r="N43"/>
  <c r="M43"/>
  <c r="L43"/>
  <c r="K43"/>
  <c r="H43"/>
  <c r="G43"/>
  <c r="F43"/>
  <c r="E43"/>
  <c r="D43"/>
  <c r="N42"/>
  <c r="M42"/>
  <c r="L42"/>
  <c r="K42"/>
  <c r="H42"/>
  <c r="G42"/>
  <c r="F42"/>
  <c r="E42"/>
  <c r="D42"/>
  <c r="N41"/>
  <c r="M41"/>
  <c r="L41"/>
  <c r="K41"/>
  <c r="H41"/>
  <c r="G41"/>
  <c r="F41"/>
  <c r="E41"/>
  <c r="D41"/>
  <c r="N40"/>
  <c r="M40"/>
  <c r="L40"/>
  <c r="K40"/>
  <c r="H40"/>
  <c r="G40"/>
  <c r="I38" s="1"/>
  <c r="F40"/>
  <c r="E40"/>
  <c r="D40"/>
  <c r="N39"/>
  <c r="M39"/>
  <c r="L39"/>
  <c r="K39"/>
  <c r="H39"/>
  <c r="G39"/>
  <c r="F39"/>
  <c r="E39"/>
  <c r="D39"/>
  <c r="O38"/>
  <c r="N38"/>
  <c r="M38"/>
  <c r="L38"/>
  <c r="K38"/>
  <c r="H38"/>
  <c r="J38" s="1"/>
  <c r="G38"/>
  <c r="F38"/>
  <c r="E38"/>
  <c r="D38"/>
  <c r="N35"/>
  <c r="M35"/>
  <c r="L35"/>
  <c r="K35"/>
  <c r="H35"/>
  <c r="G35"/>
  <c r="F35"/>
  <c r="E35"/>
  <c r="D35"/>
  <c r="D34"/>
  <c r="E34" s="1"/>
  <c r="D33"/>
  <c r="E33" s="1"/>
  <c r="E32"/>
  <c r="F32" s="1"/>
  <c r="D32"/>
  <c r="D31"/>
  <c r="D30"/>
  <c r="E30" s="1"/>
  <c r="D29"/>
  <c r="E29" s="1"/>
  <c r="D28"/>
  <c r="E28" s="1"/>
  <c r="F28" s="1"/>
  <c r="D27"/>
  <c r="D26"/>
  <c r="E26" s="1"/>
  <c r="D25"/>
  <c r="E25" s="1"/>
  <c r="E24"/>
  <c r="F24" s="1"/>
  <c r="G24" s="1"/>
  <c r="D24"/>
  <c r="D23"/>
  <c r="D22"/>
  <c r="E22" s="1"/>
  <c r="E21"/>
  <c r="H21" s="1"/>
  <c r="D21"/>
  <c r="F21" s="1"/>
  <c r="D20"/>
  <c r="E20" s="1"/>
  <c r="D19"/>
  <c r="D18"/>
  <c r="E18" s="1"/>
  <c r="D17"/>
  <c r="E17" s="1"/>
  <c r="E16"/>
  <c r="F16" s="1"/>
  <c r="D16"/>
  <c r="D15"/>
  <c r="D14"/>
  <c r="E14" s="1"/>
  <c r="D13"/>
  <c r="E13" s="1"/>
  <c r="O12"/>
  <c r="F12"/>
  <c r="E12"/>
  <c r="H12" s="1"/>
  <c r="D12"/>
  <c r="P38" i="27"/>
  <c r="I38"/>
  <c r="J38"/>
  <c r="J12"/>
  <c r="I12"/>
  <c r="G12"/>
  <c r="F12"/>
  <c r="N61"/>
  <c r="M61"/>
  <c r="L61"/>
  <c r="K61"/>
  <c r="H61"/>
  <c r="G61"/>
  <c r="F61"/>
  <c r="E61"/>
  <c r="D61"/>
  <c r="D60"/>
  <c r="D59"/>
  <c r="E59" s="1"/>
  <c r="E58"/>
  <c r="D58"/>
  <c r="D57"/>
  <c r="E57" s="1"/>
  <c r="D56"/>
  <c r="D55"/>
  <c r="E55" s="1"/>
  <c r="E54"/>
  <c r="D54"/>
  <c r="E53"/>
  <c r="F53" s="1"/>
  <c r="D53"/>
  <c r="D52"/>
  <c r="D51"/>
  <c r="E51" s="1"/>
  <c r="E50"/>
  <c r="D50"/>
  <c r="E49"/>
  <c r="F49" s="1"/>
  <c r="D49"/>
  <c r="D48"/>
  <c r="D47"/>
  <c r="E47" s="1"/>
  <c r="D46"/>
  <c r="E46" s="1"/>
  <c r="E45"/>
  <c r="F45" s="1"/>
  <c r="D45"/>
  <c r="D44"/>
  <c r="D43"/>
  <c r="E43" s="1"/>
  <c r="D42"/>
  <c r="E42" s="1"/>
  <c r="E41"/>
  <c r="F41" s="1"/>
  <c r="D41"/>
  <c r="D40"/>
  <c r="D39"/>
  <c r="E39" s="1"/>
  <c r="O38"/>
  <c r="D38"/>
  <c r="N35"/>
  <c r="M35"/>
  <c r="L35"/>
  <c r="K35"/>
  <c r="H35"/>
  <c r="G35"/>
  <c r="F35"/>
  <c r="E35"/>
  <c r="D35"/>
  <c r="N34"/>
  <c r="M34"/>
  <c r="L34"/>
  <c r="K34"/>
  <c r="H34"/>
  <c r="G34"/>
  <c r="F34"/>
  <c r="E34"/>
  <c r="D34"/>
  <c r="N33"/>
  <c r="M33"/>
  <c r="L33"/>
  <c r="K33"/>
  <c r="H33"/>
  <c r="G33"/>
  <c r="F33"/>
  <c r="E33"/>
  <c r="D33"/>
  <c r="D32"/>
  <c r="D31"/>
  <c r="E31" s="1"/>
  <c r="D30"/>
  <c r="E30" s="1"/>
  <c r="E29"/>
  <c r="F29" s="1"/>
  <c r="D29"/>
  <c r="D28"/>
  <c r="D27"/>
  <c r="E27" s="1"/>
  <c r="D26"/>
  <c r="E26" s="1"/>
  <c r="E25"/>
  <c r="F25" s="1"/>
  <c r="D25"/>
  <c r="D24"/>
  <c r="E23"/>
  <c r="G23" s="1"/>
  <c r="D23"/>
  <c r="F23" s="1"/>
  <c r="D22"/>
  <c r="E22" s="1"/>
  <c r="E21"/>
  <c r="F21" s="1"/>
  <c r="D21"/>
  <c r="D20"/>
  <c r="D19"/>
  <c r="E19" s="1"/>
  <c r="E18"/>
  <c r="D18"/>
  <c r="E17"/>
  <c r="F17" s="1"/>
  <c r="D17"/>
  <c r="D16"/>
  <c r="D15"/>
  <c r="E15" s="1"/>
  <c r="D14"/>
  <c r="E14" s="1"/>
  <c r="F13"/>
  <c r="E13"/>
  <c r="G13" s="1"/>
  <c r="D13"/>
  <c r="O12"/>
  <c r="E12"/>
  <c r="D12"/>
  <c r="H8" i="5"/>
  <c r="G8"/>
  <c r="F8"/>
  <c r="E8"/>
  <c r="J38" i="19"/>
  <c r="I38"/>
  <c r="J12"/>
  <c r="I12"/>
  <c r="CC6" i="26"/>
  <c r="CB6"/>
  <c r="O64" i="25"/>
  <c r="O90"/>
  <c r="J64"/>
  <c r="D79"/>
  <c r="E79"/>
  <c r="D80"/>
  <c r="D81"/>
  <c r="E81" s="1"/>
  <c r="D82"/>
  <c r="E82" s="1"/>
  <c r="D83"/>
  <c r="E83"/>
  <c r="D112"/>
  <c r="E112" s="1"/>
  <c r="D111"/>
  <c r="D110"/>
  <c r="E110" s="1"/>
  <c r="D109"/>
  <c r="E109" s="1"/>
  <c r="D108"/>
  <c r="E108" s="1"/>
  <c r="D107"/>
  <c r="D106"/>
  <c r="E106" s="1"/>
  <c r="D105"/>
  <c r="E105" s="1"/>
  <c r="D104"/>
  <c r="E104" s="1"/>
  <c r="D102"/>
  <c r="D101"/>
  <c r="E101" s="1"/>
  <c r="D113"/>
  <c r="E113" s="1"/>
  <c r="D97"/>
  <c r="E97" s="1"/>
  <c r="D100"/>
  <c r="D98"/>
  <c r="E98" s="1"/>
  <c r="D99"/>
  <c r="E99" s="1"/>
  <c r="D95"/>
  <c r="E95" s="1"/>
  <c r="D96"/>
  <c r="D92"/>
  <c r="E92" s="1"/>
  <c r="D103"/>
  <c r="E103" s="1"/>
  <c r="D94"/>
  <c r="E94" s="1"/>
  <c r="D91"/>
  <c r="D93"/>
  <c r="E93" s="1"/>
  <c r="D90"/>
  <c r="E90" s="1"/>
  <c r="D78"/>
  <c r="E78" s="1"/>
  <c r="F78" s="1"/>
  <c r="D84"/>
  <c r="E84" s="1"/>
  <c r="D85"/>
  <c r="E85" s="1"/>
  <c r="F85" s="1"/>
  <c r="D86"/>
  <c r="E86" s="1"/>
  <c r="D87"/>
  <c r="E87" s="1"/>
  <c r="D77"/>
  <c r="D76"/>
  <c r="E76" s="1"/>
  <c r="D75"/>
  <c r="E75" s="1"/>
  <c r="F75" s="1"/>
  <c r="D72"/>
  <c r="D74"/>
  <c r="E74" s="1"/>
  <c r="D73"/>
  <c r="E73" s="1"/>
  <c r="D71"/>
  <c r="E71" s="1"/>
  <c r="D70"/>
  <c r="D67"/>
  <c r="E67" s="1"/>
  <c r="D69"/>
  <c r="D68"/>
  <c r="E68" s="1"/>
  <c r="F68" s="1"/>
  <c r="D66"/>
  <c r="D65"/>
  <c r="E65" s="1"/>
  <c r="D64"/>
  <c r="E64" s="1"/>
  <c r="F64" s="1"/>
  <c r="D61"/>
  <c r="E61" s="1"/>
  <c r="D60"/>
  <c r="E60" s="1"/>
  <c r="D59"/>
  <c r="E59" s="1"/>
  <c r="D58"/>
  <c r="D57"/>
  <c r="E57" s="1"/>
  <c r="D56"/>
  <c r="E56" s="1"/>
  <c r="D55"/>
  <c r="E55" s="1"/>
  <c r="F55" s="1"/>
  <c r="D54"/>
  <c r="D53"/>
  <c r="E53" s="1"/>
  <c r="D52"/>
  <c r="E52" s="1"/>
  <c r="D51"/>
  <c r="E51" s="1"/>
  <c r="F51" s="1"/>
  <c r="D50"/>
  <c r="D49"/>
  <c r="E49" s="1"/>
  <c r="D48"/>
  <c r="E48" s="1"/>
  <c r="D47"/>
  <c r="E47" s="1"/>
  <c r="F47" s="1"/>
  <c r="D46"/>
  <c r="D45"/>
  <c r="E45" s="1"/>
  <c r="D44"/>
  <c r="E44" s="1"/>
  <c r="D43"/>
  <c r="E43" s="1"/>
  <c r="F43" s="1"/>
  <c r="D42"/>
  <c r="D41"/>
  <c r="E41" s="1"/>
  <c r="D40"/>
  <c r="E40" s="1"/>
  <c r="D39"/>
  <c r="E39" s="1"/>
  <c r="F39" s="1"/>
  <c r="O38"/>
  <c r="D38"/>
  <c r="E38" s="1"/>
  <c r="D35"/>
  <c r="E35" s="1"/>
  <c r="D34"/>
  <c r="E34" s="1"/>
  <c r="F34" s="1"/>
  <c r="D33"/>
  <c r="E33" s="1"/>
  <c r="D32"/>
  <c r="E32" s="1"/>
  <c r="D31"/>
  <c r="E31" s="1"/>
  <c r="D30"/>
  <c r="E30" s="1"/>
  <c r="F30" s="1"/>
  <c r="D29"/>
  <c r="E29" s="1"/>
  <c r="D28"/>
  <c r="E28" s="1"/>
  <c r="D27"/>
  <c r="E27" s="1"/>
  <c r="E26"/>
  <c r="F26" s="1"/>
  <c r="D26"/>
  <c r="D25"/>
  <c r="D24"/>
  <c r="E24" s="1"/>
  <c r="D23"/>
  <c r="E23" s="1"/>
  <c r="D22"/>
  <c r="E22" s="1"/>
  <c r="F22" s="1"/>
  <c r="D21"/>
  <c r="D20"/>
  <c r="E20" s="1"/>
  <c r="D19"/>
  <c r="E19" s="1"/>
  <c r="D18"/>
  <c r="E18" s="1"/>
  <c r="F18" s="1"/>
  <c r="D17"/>
  <c r="D16"/>
  <c r="E16" s="1"/>
  <c r="D15"/>
  <c r="E15" s="1"/>
  <c r="D14"/>
  <c r="E14" s="1"/>
  <c r="F14" s="1"/>
  <c r="D13"/>
  <c r="O12"/>
  <c r="D12"/>
  <c r="J12" i="23"/>
  <c r="I12"/>
  <c r="K30" s="1"/>
  <c r="M30" s="1"/>
  <c r="L30"/>
  <c r="N30" s="1"/>
  <c r="D30"/>
  <c r="E30" s="1"/>
  <c r="K31"/>
  <c r="L31"/>
  <c r="M31"/>
  <c r="N31"/>
  <c r="K32"/>
  <c r="L32"/>
  <c r="M32"/>
  <c r="N32"/>
  <c r="K33"/>
  <c r="L33"/>
  <c r="M33"/>
  <c r="N33"/>
  <c r="K34"/>
  <c r="L34"/>
  <c r="M34"/>
  <c r="N34"/>
  <c r="K35"/>
  <c r="L35"/>
  <c r="M35"/>
  <c r="N35"/>
  <c r="D31"/>
  <c r="E31"/>
  <c r="F31"/>
  <c r="G31"/>
  <c r="H31"/>
  <c r="D32"/>
  <c r="E32"/>
  <c r="F32"/>
  <c r="G32"/>
  <c r="H32"/>
  <c r="D33"/>
  <c r="E33"/>
  <c r="F33"/>
  <c r="G33"/>
  <c r="H33"/>
  <c r="D34"/>
  <c r="E34"/>
  <c r="F34"/>
  <c r="G34"/>
  <c r="H34"/>
  <c r="D35"/>
  <c r="E35"/>
  <c r="F35"/>
  <c r="G35"/>
  <c r="H35"/>
  <c r="D56"/>
  <c r="E56"/>
  <c r="D57"/>
  <c r="D58"/>
  <c r="E58" s="1"/>
  <c r="D59"/>
  <c r="E59" s="1"/>
  <c r="D60"/>
  <c r="E60"/>
  <c r="D61"/>
  <c r="D39"/>
  <c r="E39" s="1"/>
  <c r="D40"/>
  <c r="D41"/>
  <c r="E41" s="1"/>
  <c r="D42"/>
  <c r="E42" s="1"/>
  <c r="D43"/>
  <c r="E43" s="1"/>
  <c r="D44"/>
  <c r="D45"/>
  <c r="E45" s="1"/>
  <c r="D46"/>
  <c r="E46" s="1"/>
  <c r="D47"/>
  <c r="E47" s="1"/>
  <c r="D48"/>
  <c r="D49"/>
  <c r="E49" s="1"/>
  <c r="D50"/>
  <c r="E50" s="1"/>
  <c r="D51"/>
  <c r="E51"/>
  <c r="D52"/>
  <c r="D53"/>
  <c r="E53" s="1"/>
  <c r="D54"/>
  <c r="E54" s="1"/>
  <c r="D55"/>
  <c r="E55" s="1"/>
  <c r="D13"/>
  <c r="E13" s="1"/>
  <c r="D14"/>
  <c r="D15"/>
  <c r="E15" s="1"/>
  <c r="D16"/>
  <c r="E16" s="1"/>
  <c r="D17"/>
  <c r="E17" s="1"/>
  <c r="D18"/>
  <c r="D19"/>
  <c r="E19" s="1"/>
  <c r="D20"/>
  <c r="E20" s="1"/>
  <c r="D21"/>
  <c r="E21" s="1"/>
  <c r="D22"/>
  <c r="D23"/>
  <c r="E23" s="1"/>
  <c r="D24"/>
  <c r="E24" s="1"/>
  <c r="D25"/>
  <c r="E25" s="1"/>
  <c r="D26"/>
  <c r="D27"/>
  <c r="E27" s="1"/>
  <c r="D28"/>
  <c r="E28" s="1"/>
  <c r="D29"/>
  <c r="E29" s="1"/>
  <c r="O38"/>
  <c r="D38"/>
  <c r="E38" s="1"/>
  <c r="F38" s="1"/>
  <c r="O12"/>
  <c r="D12"/>
  <c r="E12" s="1"/>
  <c r="N61" i="22"/>
  <c r="M61"/>
  <c r="L61"/>
  <c r="K61"/>
  <c r="H61"/>
  <c r="G61"/>
  <c r="F61"/>
  <c r="E61"/>
  <c r="D61"/>
  <c r="N60"/>
  <c r="M60"/>
  <c r="L60"/>
  <c r="K60"/>
  <c r="H60"/>
  <c r="G60"/>
  <c r="F60"/>
  <c r="E60"/>
  <c r="D60"/>
  <c r="D59"/>
  <c r="D55"/>
  <c r="E55" s="1"/>
  <c r="D58"/>
  <c r="E58" s="1"/>
  <c r="F58" s="1"/>
  <c r="G58" s="1"/>
  <c r="D45"/>
  <c r="D57"/>
  <c r="E57" s="1"/>
  <c r="D56"/>
  <c r="E56" s="1"/>
  <c r="D54"/>
  <c r="E54" s="1"/>
  <c r="F54" s="1"/>
  <c r="D41"/>
  <c r="D49"/>
  <c r="E49" s="1"/>
  <c r="D48"/>
  <c r="E48" s="1"/>
  <c r="D53"/>
  <c r="E53" s="1"/>
  <c r="F53" s="1"/>
  <c r="D52"/>
  <c r="D50"/>
  <c r="E50" s="1"/>
  <c r="D51"/>
  <c r="D46"/>
  <c r="E46" s="1"/>
  <c r="F46" s="1"/>
  <c r="D38"/>
  <c r="D47"/>
  <c r="E47" s="1"/>
  <c r="D44"/>
  <c r="E44" s="1"/>
  <c r="D43"/>
  <c r="E43" s="1"/>
  <c r="D42"/>
  <c r="D40"/>
  <c r="E40" s="1"/>
  <c r="O38"/>
  <c r="D39"/>
  <c r="D12"/>
  <c r="E12" s="1"/>
  <c r="D13"/>
  <c r="E13" s="1"/>
  <c r="D14"/>
  <c r="E14" s="1"/>
  <c r="F14" s="1"/>
  <c r="D22"/>
  <c r="E22" s="1"/>
  <c r="D23"/>
  <c r="E23" s="1"/>
  <c r="D19"/>
  <c r="E19" s="1"/>
  <c r="D20"/>
  <c r="E20" s="1"/>
  <c r="F20" s="1"/>
  <c r="D26"/>
  <c r="D32"/>
  <c r="E32" s="1"/>
  <c r="D34"/>
  <c r="E34" s="1"/>
  <c r="D30"/>
  <c r="E30" s="1"/>
  <c r="F30" s="1"/>
  <c r="D33"/>
  <c r="D27"/>
  <c r="E27" s="1"/>
  <c r="D28"/>
  <c r="E28" s="1"/>
  <c r="D25"/>
  <c r="E25" s="1"/>
  <c r="D16"/>
  <c r="D24"/>
  <c r="E24" s="1"/>
  <c r="D29"/>
  <c r="E29" s="1"/>
  <c r="D17"/>
  <c r="E17" s="1"/>
  <c r="F17" s="1"/>
  <c r="D15"/>
  <c r="D18"/>
  <c r="E18" s="1"/>
  <c r="D21"/>
  <c r="E21" s="1"/>
  <c r="E31"/>
  <c r="F31" s="1"/>
  <c r="D31"/>
  <c r="O12"/>
  <c r="D35"/>
  <c r="J12" i="21"/>
  <c r="I12"/>
  <c r="G13"/>
  <c r="H13"/>
  <c r="G14"/>
  <c r="H14"/>
  <c r="G15"/>
  <c r="H15"/>
  <c r="G16"/>
  <c r="H16"/>
  <c r="G17"/>
  <c r="H17"/>
  <c r="G18"/>
  <c r="H18"/>
  <c r="G19"/>
  <c r="H19"/>
  <c r="G20"/>
  <c r="H20"/>
  <c r="G21"/>
  <c r="H21"/>
  <c r="G22"/>
  <c r="H22"/>
  <c r="G23"/>
  <c r="H23"/>
  <c r="G24"/>
  <c r="H24"/>
  <c r="G25"/>
  <c r="H25"/>
  <c r="G26"/>
  <c r="H26"/>
  <c r="G27"/>
  <c r="H27"/>
  <c r="G28"/>
  <c r="H28"/>
  <c r="G29"/>
  <c r="H29"/>
  <c r="G30"/>
  <c r="H30"/>
  <c r="G31"/>
  <c r="H31"/>
  <c r="G32"/>
  <c r="H32"/>
  <c r="N61"/>
  <c r="M61"/>
  <c r="L61"/>
  <c r="K61"/>
  <c r="H61"/>
  <c r="G61"/>
  <c r="F61"/>
  <c r="E61"/>
  <c r="D61"/>
  <c r="N60"/>
  <c r="M60"/>
  <c r="L60"/>
  <c r="K60"/>
  <c r="H60"/>
  <c r="G60"/>
  <c r="F60"/>
  <c r="E60"/>
  <c r="D60"/>
  <c r="N59"/>
  <c r="M59"/>
  <c r="L59"/>
  <c r="K59"/>
  <c r="H59"/>
  <c r="G59"/>
  <c r="F59"/>
  <c r="E59"/>
  <c r="D59"/>
  <c r="N58"/>
  <c r="M58"/>
  <c r="L58"/>
  <c r="K58"/>
  <c r="H58"/>
  <c r="G58"/>
  <c r="F58"/>
  <c r="E58"/>
  <c r="D58"/>
  <c r="N57"/>
  <c r="M57"/>
  <c r="L57"/>
  <c r="K57"/>
  <c r="H57"/>
  <c r="G57"/>
  <c r="F57"/>
  <c r="E57"/>
  <c r="D57"/>
  <c r="N56"/>
  <c r="M56"/>
  <c r="L56"/>
  <c r="K56"/>
  <c r="H56"/>
  <c r="G56"/>
  <c r="F56"/>
  <c r="E56"/>
  <c r="D56"/>
  <c r="N55"/>
  <c r="M55"/>
  <c r="L55"/>
  <c r="K55"/>
  <c r="H55"/>
  <c r="G55"/>
  <c r="F55"/>
  <c r="E55"/>
  <c r="D55"/>
  <c r="N54"/>
  <c r="M54"/>
  <c r="L54"/>
  <c r="K54"/>
  <c r="H54"/>
  <c r="G54"/>
  <c r="F54"/>
  <c r="E54"/>
  <c r="D54"/>
  <c r="N53"/>
  <c r="M53"/>
  <c r="L53"/>
  <c r="K53"/>
  <c r="H53"/>
  <c r="G53"/>
  <c r="F53"/>
  <c r="E53"/>
  <c r="D53"/>
  <c r="N52"/>
  <c r="M52"/>
  <c r="L52"/>
  <c r="K52"/>
  <c r="H52"/>
  <c r="G52"/>
  <c r="F52"/>
  <c r="E52"/>
  <c r="D52"/>
  <c r="N51"/>
  <c r="M51"/>
  <c r="L51"/>
  <c r="K51"/>
  <c r="H51"/>
  <c r="G51"/>
  <c r="F51"/>
  <c r="E51"/>
  <c r="D51"/>
  <c r="N50"/>
  <c r="M50"/>
  <c r="L50"/>
  <c r="K50"/>
  <c r="H50"/>
  <c r="G50"/>
  <c r="F50"/>
  <c r="E50"/>
  <c r="D50"/>
  <c r="N49"/>
  <c r="M49"/>
  <c r="L49"/>
  <c r="K49"/>
  <c r="H49"/>
  <c r="G49"/>
  <c r="F49"/>
  <c r="E49"/>
  <c r="D49"/>
  <c r="N48"/>
  <c r="M48"/>
  <c r="L48"/>
  <c r="K48"/>
  <c r="H48"/>
  <c r="G48"/>
  <c r="F48"/>
  <c r="E48"/>
  <c r="D48"/>
  <c r="N47"/>
  <c r="M47"/>
  <c r="L47"/>
  <c r="K47"/>
  <c r="H47"/>
  <c r="G47"/>
  <c r="F47"/>
  <c r="E47"/>
  <c r="D47"/>
  <c r="N46"/>
  <c r="M46"/>
  <c r="L46"/>
  <c r="K46"/>
  <c r="H46"/>
  <c r="G46"/>
  <c r="F46"/>
  <c r="E46"/>
  <c r="D46"/>
  <c r="N45"/>
  <c r="M45"/>
  <c r="L45"/>
  <c r="K45"/>
  <c r="H45"/>
  <c r="G45"/>
  <c r="F45"/>
  <c r="E45"/>
  <c r="D45"/>
  <c r="N44"/>
  <c r="M44"/>
  <c r="L44"/>
  <c r="K44"/>
  <c r="H44"/>
  <c r="G44"/>
  <c r="F44"/>
  <c r="E44"/>
  <c r="D44"/>
  <c r="N43"/>
  <c r="M43"/>
  <c r="L43"/>
  <c r="K43"/>
  <c r="H43"/>
  <c r="G43"/>
  <c r="F43"/>
  <c r="E43"/>
  <c r="D43"/>
  <c r="N42"/>
  <c r="M42"/>
  <c r="L42"/>
  <c r="K42"/>
  <c r="H42"/>
  <c r="G42"/>
  <c r="F42"/>
  <c r="E42"/>
  <c r="D42"/>
  <c r="N41"/>
  <c r="M41"/>
  <c r="L41"/>
  <c r="K41"/>
  <c r="H41"/>
  <c r="G41"/>
  <c r="F41"/>
  <c r="E41"/>
  <c r="D41"/>
  <c r="N40"/>
  <c r="M40"/>
  <c r="L40"/>
  <c r="K40"/>
  <c r="H40"/>
  <c r="G40"/>
  <c r="F40"/>
  <c r="E40"/>
  <c r="D40"/>
  <c r="N39"/>
  <c r="M39"/>
  <c r="L39"/>
  <c r="K39"/>
  <c r="H39"/>
  <c r="G39"/>
  <c r="F39"/>
  <c r="E39"/>
  <c r="D39"/>
  <c r="O38"/>
  <c r="N38"/>
  <c r="M38"/>
  <c r="L38"/>
  <c r="K38"/>
  <c r="I38"/>
  <c r="H38"/>
  <c r="J38" s="1"/>
  <c r="G38"/>
  <c r="F38"/>
  <c r="E38"/>
  <c r="D38"/>
  <c r="N35"/>
  <c r="M35"/>
  <c r="L35"/>
  <c r="K35"/>
  <c r="H35"/>
  <c r="G35"/>
  <c r="F35"/>
  <c r="E35"/>
  <c r="D35"/>
  <c r="N34"/>
  <c r="M34"/>
  <c r="L34"/>
  <c r="K34"/>
  <c r="H34"/>
  <c r="G34"/>
  <c r="F34"/>
  <c r="E34"/>
  <c r="D34"/>
  <c r="N33"/>
  <c r="M33"/>
  <c r="L33"/>
  <c r="K33"/>
  <c r="H33"/>
  <c r="G33"/>
  <c r="F33"/>
  <c r="E33"/>
  <c r="D33"/>
  <c r="D32"/>
  <c r="D31"/>
  <c r="E31" s="1"/>
  <c r="D30"/>
  <c r="E30" s="1"/>
  <c r="E29"/>
  <c r="F29" s="1"/>
  <c r="D29"/>
  <c r="D28"/>
  <c r="E28" s="1"/>
  <c r="E27"/>
  <c r="D27"/>
  <c r="F27" s="1"/>
  <c r="E26"/>
  <c r="F26" s="1"/>
  <c r="D26"/>
  <c r="F25"/>
  <c r="E25"/>
  <c r="D25"/>
  <c r="D24"/>
  <c r="E24" s="1"/>
  <c r="E23"/>
  <c r="D23"/>
  <c r="F23" s="1"/>
  <c r="E22"/>
  <c r="D22"/>
  <c r="F22" s="1"/>
  <c r="E21"/>
  <c r="F21" s="1"/>
  <c r="D21"/>
  <c r="D20"/>
  <c r="E20" s="1"/>
  <c r="D19"/>
  <c r="E19" s="1"/>
  <c r="E18"/>
  <c r="D18"/>
  <c r="F18" s="1"/>
  <c r="E17"/>
  <c r="F17" s="1"/>
  <c r="D17"/>
  <c r="D16"/>
  <c r="E16" s="1"/>
  <c r="D15"/>
  <c r="E15" s="1"/>
  <c r="F14"/>
  <c r="E14"/>
  <c r="D14"/>
  <c r="F13"/>
  <c r="E13"/>
  <c r="D13"/>
  <c r="O12"/>
  <c r="D12"/>
  <c r="E12" s="1"/>
  <c r="Q12" i="20"/>
  <c r="P12"/>
  <c r="R12"/>
  <c r="J12"/>
  <c r="I12"/>
  <c r="K12" s="1"/>
  <c r="N61"/>
  <c r="M61"/>
  <c r="L61"/>
  <c r="K61"/>
  <c r="H61"/>
  <c r="G61"/>
  <c r="F61"/>
  <c r="E61"/>
  <c r="D61"/>
  <c r="N60"/>
  <c r="M60"/>
  <c r="L60"/>
  <c r="K60"/>
  <c r="H60"/>
  <c r="G60"/>
  <c r="F60"/>
  <c r="E60"/>
  <c r="D60"/>
  <c r="N59"/>
  <c r="M59"/>
  <c r="L59"/>
  <c r="K59"/>
  <c r="H59"/>
  <c r="G59"/>
  <c r="F59"/>
  <c r="E59"/>
  <c r="D59"/>
  <c r="N58"/>
  <c r="M58"/>
  <c r="L58"/>
  <c r="K58"/>
  <c r="H58"/>
  <c r="G58"/>
  <c r="F58"/>
  <c r="E58"/>
  <c r="D58"/>
  <c r="N57"/>
  <c r="M57"/>
  <c r="L57"/>
  <c r="K57"/>
  <c r="H57"/>
  <c r="G57"/>
  <c r="F57"/>
  <c r="E57"/>
  <c r="D57"/>
  <c r="N56"/>
  <c r="M56"/>
  <c r="L56"/>
  <c r="K56"/>
  <c r="H56"/>
  <c r="G56"/>
  <c r="F56"/>
  <c r="E56"/>
  <c r="D56"/>
  <c r="N55"/>
  <c r="M55"/>
  <c r="L55"/>
  <c r="K55"/>
  <c r="H55"/>
  <c r="G55"/>
  <c r="F55"/>
  <c r="E55"/>
  <c r="D55"/>
  <c r="N54"/>
  <c r="M54"/>
  <c r="L54"/>
  <c r="K54"/>
  <c r="H54"/>
  <c r="G54"/>
  <c r="F54"/>
  <c r="E54"/>
  <c r="D54"/>
  <c r="N53"/>
  <c r="M53"/>
  <c r="L53"/>
  <c r="K53"/>
  <c r="H53"/>
  <c r="G53"/>
  <c r="F53"/>
  <c r="E53"/>
  <c r="D53"/>
  <c r="N52"/>
  <c r="M52"/>
  <c r="L52"/>
  <c r="K52"/>
  <c r="H52"/>
  <c r="G52"/>
  <c r="F52"/>
  <c r="E52"/>
  <c r="D52"/>
  <c r="N51"/>
  <c r="M51"/>
  <c r="L51"/>
  <c r="K51"/>
  <c r="H51"/>
  <c r="G51"/>
  <c r="F51"/>
  <c r="E51"/>
  <c r="D51"/>
  <c r="N50"/>
  <c r="M50"/>
  <c r="L50"/>
  <c r="K50"/>
  <c r="H50"/>
  <c r="G50"/>
  <c r="F50"/>
  <c r="E50"/>
  <c r="D50"/>
  <c r="N49"/>
  <c r="M49"/>
  <c r="L49"/>
  <c r="K49"/>
  <c r="H49"/>
  <c r="G49"/>
  <c r="F49"/>
  <c r="E49"/>
  <c r="D49"/>
  <c r="N48"/>
  <c r="M48"/>
  <c r="L48"/>
  <c r="K48"/>
  <c r="H48"/>
  <c r="G48"/>
  <c r="F48"/>
  <c r="E48"/>
  <c r="D48"/>
  <c r="N47"/>
  <c r="M47"/>
  <c r="L47"/>
  <c r="K47"/>
  <c r="H47"/>
  <c r="G47"/>
  <c r="F47"/>
  <c r="E47"/>
  <c r="D47"/>
  <c r="N46"/>
  <c r="M46"/>
  <c r="L46"/>
  <c r="K46"/>
  <c r="H46"/>
  <c r="G46"/>
  <c r="F46"/>
  <c r="E46"/>
  <c r="D46"/>
  <c r="N45"/>
  <c r="M45"/>
  <c r="L45"/>
  <c r="K45"/>
  <c r="H45"/>
  <c r="G45"/>
  <c r="F45"/>
  <c r="E45"/>
  <c r="D45"/>
  <c r="N44"/>
  <c r="M44"/>
  <c r="L44"/>
  <c r="K44"/>
  <c r="H44"/>
  <c r="G44"/>
  <c r="F44"/>
  <c r="E44"/>
  <c r="D44"/>
  <c r="N43"/>
  <c r="M43"/>
  <c r="L43"/>
  <c r="K43"/>
  <c r="H43"/>
  <c r="G43"/>
  <c r="F43"/>
  <c r="E43"/>
  <c r="D43"/>
  <c r="N42"/>
  <c r="M42"/>
  <c r="L42"/>
  <c r="K42"/>
  <c r="H42"/>
  <c r="G42"/>
  <c r="F42"/>
  <c r="E42"/>
  <c r="D42"/>
  <c r="N41"/>
  <c r="M41"/>
  <c r="L41"/>
  <c r="K41"/>
  <c r="H41"/>
  <c r="G41"/>
  <c r="F41"/>
  <c r="E41"/>
  <c r="D41"/>
  <c r="N40"/>
  <c r="M40"/>
  <c r="L40"/>
  <c r="K40"/>
  <c r="H40"/>
  <c r="G40"/>
  <c r="F40"/>
  <c r="E40"/>
  <c r="D40"/>
  <c r="N39"/>
  <c r="M39"/>
  <c r="L39"/>
  <c r="K39"/>
  <c r="H39"/>
  <c r="G39"/>
  <c r="F39"/>
  <c r="E39"/>
  <c r="D39"/>
  <c r="O38"/>
  <c r="N38"/>
  <c r="M38"/>
  <c r="L38"/>
  <c r="K38"/>
  <c r="J38"/>
  <c r="H38"/>
  <c r="G38"/>
  <c r="F38"/>
  <c r="E38"/>
  <c r="D38"/>
  <c r="N35"/>
  <c r="M35"/>
  <c r="L35"/>
  <c r="K35"/>
  <c r="H35"/>
  <c r="G35"/>
  <c r="F35"/>
  <c r="E35"/>
  <c r="D35"/>
  <c r="F34"/>
  <c r="G34" s="1"/>
  <c r="E34"/>
  <c r="H34" s="1"/>
  <c r="D34"/>
  <c r="E33"/>
  <c r="F33" s="1"/>
  <c r="D33"/>
  <c r="D32"/>
  <c r="E32" s="1"/>
  <c r="E31"/>
  <c r="F31" s="1"/>
  <c r="D31"/>
  <c r="F30"/>
  <c r="G30" s="1"/>
  <c r="E30"/>
  <c r="H30" s="1"/>
  <c r="D30"/>
  <c r="D29"/>
  <c r="E29" s="1"/>
  <c r="D28"/>
  <c r="E28" s="1"/>
  <c r="E27"/>
  <c r="F27" s="1"/>
  <c r="D27"/>
  <c r="F26"/>
  <c r="G26" s="1"/>
  <c r="E26"/>
  <c r="H26" s="1"/>
  <c r="D26"/>
  <c r="D25"/>
  <c r="E25" s="1"/>
  <c r="E24"/>
  <c r="D24"/>
  <c r="F24" s="1"/>
  <c r="F23"/>
  <c r="E23"/>
  <c r="H23" s="1"/>
  <c r="D23"/>
  <c r="D22"/>
  <c r="E22" s="1"/>
  <c r="D21"/>
  <c r="E21" s="1"/>
  <c r="E20"/>
  <c r="D20"/>
  <c r="E19"/>
  <c r="F19" s="1"/>
  <c r="D19"/>
  <c r="D18"/>
  <c r="E18" s="1"/>
  <c r="D17"/>
  <c r="E17" s="1"/>
  <c r="E16"/>
  <c r="H16" s="1"/>
  <c r="D16"/>
  <c r="F16" s="1"/>
  <c r="E15"/>
  <c r="F15" s="1"/>
  <c r="D15"/>
  <c r="G14"/>
  <c r="F14"/>
  <c r="E14"/>
  <c r="H14" s="1"/>
  <c r="D14"/>
  <c r="D13"/>
  <c r="E13" s="1"/>
  <c r="O12"/>
  <c r="D12"/>
  <c r="E12" s="1"/>
  <c r="D35" i="17"/>
  <c r="D61" i="19"/>
  <c r="E61" s="1"/>
  <c r="D60"/>
  <c r="E59"/>
  <c r="G59" s="1"/>
  <c r="K59" s="1"/>
  <c r="M59" s="1"/>
  <c r="D59"/>
  <c r="F59" s="1"/>
  <c r="D58"/>
  <c r="E58" s="1"/>
  <c r="E57"/>
  <c r="F57" s="1"/>
  <c r="D57"/>
  <c r="D56"/>
  <c r="D55"/>
  <c r="E55" s="1"/>
  <c r="F54"/>
  <c r="E54"/>
  <c r="H54" s="1"/>
  <c r="L54" s="1"/>
  <c r="N54" s="1"/>
  <c r="D54"/>
  <c r="D53"/>
  <c r="E53" s="1"/>
  <c r="D52"/>
  <c r="E51"/>
  <c r="G51" s="1"/>
  <c r="K51" s="1"/>
  <c r="M51" s="1"/>
  <c r="D51"/>
  <c r="F51" s="1"/>
  <c r="D50"/>
  <c r="E50" s="1"/>
  <c r="E49"/>
  <c r="F49" s="1"/>
  <c r="G49" s="1"/>
  <c r="K49" s="1"/>
  <c r="M49" s="1"/>
  <c r="D49"/>
  <c r="D48"/>
  <c r="E47"/>
  <c r="G47" s="1"/>
  <c r="K47" s="1"/>
  <c r="M47" s="1"/>
  <c r="D47"/>
  <c r="F47" s="1"/>
  <c r="D46"/>
  <c r="E46" s="1"/>
  <c r="E45"/>
  <c r="G45" s="1"/>
  <c r="K45" s="1"/>
  <c r="M45" s="1"/>
  <c r="D45"/>
  <c r="F45" s="1"/>
  <c r="D44"/>
  <c r="E43"/>
  <c r="G43" s="1"/>
  <c r="K43" s="1"/>
  <c r="M43" s="1"/>
  <c r="D43"/>
  <c r="F43" s="1"/>
  <c r="D42"/>
  <c r="E42" s="1"/>
  <c r="D41"/>
  <c r="E41" s="1"/>
  <c r="F41" s="1"/>
  <c r="D40"/>
  <c r="D39"/>
  <c r="E39" s="1"/>
  <c r="O38"/>
  <c r="E38"/>
  <c r="H38" s="1"/>
  <c r="D38"/>
  <c r="F38" s="1"/>
  <c r="G38" s="1"/>
  <c r="D35"/>
  <c r="E34"/>
  <c r="G34" s="1"/>
  <c r="D34"/>
  <c r="F34" s="1"/>
  <c r="D33"/>
  <c r="E33" s="1"/>
  <c r="E32"/>
  <c r="F32" s="1"/>
  <c r="G32" s="1"/>
  <c r="D32"/>
  <c r="E31"/>
  <c r="G31" s="1"/>
  <c r="D31"/>
  <c r="F31" s="1"/>
  <c r="E30"/>
  <c r="G30" s="1"/>
  <c r="D30"/>
  <c r="F30" s="1"/>
  <c r="D29"/>
  <c r="E29" s="1"/>
  <c r="D28"/>
  <c r="E28" s="1"/>
  <c r="D27"/>
  <c r="E26"/>
  <c r="D26"/>
  <c r="F26" s="1"/>
  <c r="D25"/>
  <c r="E25" s="1"/>
  <c r="D24"/>
  <c r="E24" s="1"/>
  <c r="D23"/>
  <c r="E22"/>
  <c r="G22" s="1"/>
  <c r="D22"/>
  <c r="F22" s="1"/>
  <c r="D21"/>
  <c r="E21" s="1"/>
  <c r="D20"/>
  <c r="E20" s="1"/>
  <c r="D19"/>
  <c r="E18"/>
  <c r="G18" s="1"/>
  <c r="D18"/>
  <c r="F18" s="1"/>
  <c r="D17"/>
  <c r="E17" s="1"/>
  <c r="D16"/>
  <c r="E16" s="1"/>
  <c r="D15"/>
  <c r="E14"/>
  <c r="G14" s="1"/>
  <c r="D14"/>
  <c r="F14" s="1"/>
  <c r="D13"/>
  <c r="E13" s="1"/>
  <c r="O12"/>
  <c r="D12"/>
  <c r="D38" i="18"/>
  <c r="E38" s="1"/>
  <c r="F38" s="1"/>
  <c r="D43"/>
  <c r="D49"/>
  <c r="E49" s="1"/>
  <c r="D52"/>
  <c r="E52" s="1"/>
  <c r="D44"/>
  <c r="E44" s="1"/>
  <c r="D56"/>
  <c r="D54"/>
  <c r="E54" s="1"/>
  <c r="D47"/>
  <c r="E47" s="1"/>
  <c r="D46"/>
  <c r="E46" s="1"/>
  <c r="D45"/>
  <c r="D42"/>
  <c r="E42" s="1"/>
  <c r="D58"/>
  <c r="E58" s="1"/>
  <c r="D40"/>
  <c r="E40" s="1"/>
  <c r="D41"/>
  <c r="D39"/>
  <c r="E39" s="1"/>
  <c r="D48"/>
  <c r="E48" s="1"/>
  <c r="D50"/>
  <c r="E50" s="1"/>
  <c r="D51"/>
  <c r="D53"/>
  <c r="E53" s="1"/>
  <c r="D55"/>
  <c r="E55" s="1"/>
  <c r="D57"/>
  <c r="E57" s="1"/>
  <c r="D59"/>
  <c r="D60"/>
  <c r="E60" s="1"/>
  <c r="O38"/>
  <c r="D61"/>
  <c r="E61" s="1"/>
  <c r="D19"/>
  <c r="D18"/>
  <c r="E18" s="1"/>
  <c r="D21"/>
  <c r="E21" s="1"/>
  <c r="D12"/>
  <c r="E12" s="1"/>
  <c r="D13"/>
  <c r="D22"/>
  <c r="E22" s="1"/>
  <c r="D29"/>
  <c r="E29" s="1"/>
  <c r="D23"/>
  <c r="E23" s="1"/>
  <c r="D20"/>
  <c r="D17"/>
  <c r="E17" s="1"/>
  <c r="D16"/>
  <c r="D15"/>
  <c r="D14"/>
  <c r="E14" s="1"/>
  <c r="D30"/>
  <c r="E30" s="1"/>
  <c r="D32"/>
  <c r="E32" s="1"/>
  <c r="D31"/>
  <c r="D25"/>
  <c r="E25" s="1"/>
  <c r="D27"/>
  <c r="E27" s="1"/>
  <c r="D24"/>
  <c r="E24" s="1"/>
  <c r="F24" s="1"/>
  <c r="G24" s="1"/>
  <c r="D28"/>
  <c r="D33"/>
  <c r="E33" s="1"/>
  <c r="D34"/>
  <c r="E34" s="1"/>
  <c r="D35"/>
  <c r="E35" s="1"/>
  <c r="F35" s="1"/>
  <c r="G35" s="1"/>
  <c r="O12"/>
  <c r="D26"/>
  <c r="E26" s="1"/>
  <c r="F26" s="1"/>
  <c r="D12" i="16"/>
  <c r="D46" i="17"/>
  <c r="E46" s="1"/>
  <c r="D49"/>
  <c r="D42"/>
  <c r="E42" s="1"/>
  <c r="D48"/>
  <c r="E48" s="1"/>
  <c r="D56"/>
  <c r="E56" s="1"/>
  <c r="D59"/>
  <c r="D61"/>
  <c r="E61" s="1"/>
  <c r="D39"/>
  <c r="E39" s="1"/>
  <c r="D52"/>
  <c r="E52" s="1"/>
  <c r="D45"/>
  <c r="D53"/>
  <c r="E53" s="1"/>
  <c r="D55"/>
  <c r="E55" s="1"/>
  <c r="D38"/>
  <c r="E38" s="1"/>
  <c r="D44"/>
  <c r="D54"/>
  <c r="E54" s="1"/>
  <c r="D57"/>
  <c r="E57" s="1"/>
  <c r="D50"/>
  <c r="E50" s="1"/>
  <c r="F50" s="1"/>
  <c r="D51"/>
  <c r="D47"/>
  <c r="E47" s="1"/>
  <c r="D40"/>
  <c r="E40" s="1"/>
  <c r="D43"/>
  <c r="D41"/>
  <c r="E41" s="1"/>
  <c r="D60"/>
  <c r="E60" s="1"/>
  <c r="O38"/>
  <c r="D58"/>
  <c r="E58" s="1"/>
  <c r="D26"/>
  <c r="E26" s="1"/>
  <c r="D25"/>
  <c r="E25" s="1"/>
  <c r="D23"/>
  <c r="E23" s="1"/>
  <c r="D22"/>
  <c r="E22" s="1"/>
  <c r="D28"/>
  <c r="D13"/>
  <c r="E13" s="1"/>
  <c r="D15"/>
  <c r="E15" s="1"/>
  <c r="D16"/>
  <c r="D14"/>
  <c r="E14" s="1"/>
  <c r="D24"/>
  <c r="E24" s="1"/>
  <c r="D27"/>
  <c r="E27" s="1"/>
  <c r="D17"/>
  <c r="D12"/>
  <c r="E12" s="1"/>
  <c r="D20"/>
  <c r="E20" s="1"/>
  <c r="D21"/>
  <c r="E21" s="1"/>
  <c r="D29"/>
  <c r="E29" s="1"/>
  <c r="D32"/>
  <c r="D33"/>
  <c r="E33" s="1"/>
  <c r="D34"/>
  <c r="E34" s="1"/>
  <c r="D30"/>
  <c r="E30" s="1"/>
  <c r="D31"/>
  <c r="E31" s="1"/>
  <c r="E18"/>
  <c r="D18"/>
  <c r="D19"/>
  <c r="E19" s="1"/>
  <c r="O12"/>
  <c r="E35"/>
  <c r="E61" i="16"/>
  <c r="F61" s="1"/>
  <c r="G61" s="1"/>
  <c r="K61" s="1"/>
  <c r="M61" s="1"/>
  <c r="D61"/>
  <c r="D60"/>
  <c r="D59"/>
  <c r="E59" s="1"/>
  <c r="D58"/>
  <c r="E58" s="1"/>
  <c r="D57"/>
  <c r="E57" s="1"/>
  <c r="E56"/>
  <c r="D56"/>
  <c r="F56" s="1"/>
  <c r="E55"/>
  <c r="G55" s="1"/>
  <c r="K55" s="1"/>
  <c r="M55" s="1"/>
  <c r="D55"/>
  <c r="F55" s="1"/>
  <c r="D54"/>
  <c r="E54" s="1"/>
  <c r="D53"/>
  <c r="E53" s="1"/>
  <c r="D52"/>
  <c r="D51"/>
  <c r="E51" s="1"/>
  <c r="E50"/>
  <c r="F50" s="1"/>
  <c r="D50"/>
  <c r="D49"/>
  <c r="E49" s="1"/>
  <c r="D48"/>
  <c r="D47"/>
  <c r="E47" s="1"/>
  <c r="D46"/>
  <c r="E46" s="1"/>
  <c r="D45"/>
  <c r="E45" s="1"/>
  <c r="D44"/>
  <c r="E43"/>
  <c r="G43" s="1"/>
  <c r="K43" s="1"/>
  <c r="M43" s="1"/>
  <c r="D43"/>
  <c r="F43" s="1"/>
  <c r="E42"/>
  <c r="F42" s="1"/>
  <c r="D42"/>
  <c r="D41"/>
  <c r="E41" s="1"/>
  <c r="D40"/>
  <c r="D39"/>
  <c r="E39" s="1"/>
  <c r="O38"/>
  <c r="D38"/>
  <c r="E38" s="1"/>
  <c r="D35"/>
  <c r="E34"/>
  <c r="G34" s="1"/>
  <c r="D34"/>
  <c r="F34" s="1"/>
  <c r="D33"/>
  <c r="E33" s="1"/>
  <c r="E32"/>
  <c r="D32"/>
  <c r="D31"/>
  <c r="E30"/>
  <c r="D30"/>
  <c r="F30" s="1"/>
  <c r="D29"/>
  <c r="E29" s="1"/>
  <c r="D28"/>
  <c r="E28" s="1"/>
  <c r="D27"/>
  <c r="E26"/>
  <c r="G26" s="1"/>
  <c r="D26"/>
  <c r="F26" s="1"/>
  <c r="D25"/>
  <c r="E25" s="1"/>
  <c r="E24"/>
  <c r="F24" s="1"/>
  <c r="G24" s="1"/>
  <c r="D24"/>
  <c r="E23"/>
  <c r="G23" s="1"/>
  <c r="D23"/>
  <c r="F23" s="1"/>
  <c r="E22"/>
  <c r="D22"/>
  <c r="F22" s="1"/>
  <c r="D21"/>
  <c r="E21" s="1"/>
  <c r="D20"/>
  <c r="E20" s="1"/>
  <c r="D19"/>
  <c r="E18"/>
  <c r="H18" s="1"/>
  <c r="D18"/>
  <c r="F18" s="1"/>
  <c r="D17"/>
  <c r="E17" s="1"/>
  <c r="D16"/>
  <c r="E16" s="1"/>
  <c r="D15"/>
  <c r="D14"/>
  <c r="E14" s="1"/>
  <c r="D13"/>
  <c r="E13" s="1"/>
  <c r="O12"/>
  <c r="E12"/>
  <c r="F12" s="1"/>
  <c r="L12" i="13"/>
  <c r="D12"/>
  <c r="AK54" i="25" l="1"/>
  <c r="AM54" s="1"/>
  <c r="AG56"/>
  <c r="AK56" s="1"/>
  <c r="AM56" s="1"/>
  <c r="AF59"/>
  <c r="AG59" s="1"/>
  <c r="AK59" s="1"/>
  <c r="AM59" s="1"/>
  <c r="AH55"/>
  <c r="AL55" s="1"/>
  <c r="AN55" s="1"/>
  <c r="AF55"/>
  <c r="AG55" s="1"/>
  <c r="AH58"/>
  <c r="AL58" s="1"/>
  <c r="AN58" s="1"/>
  <c r="AL54"/>
  <c r="AN54" s="1"/>
  <c r="AG57"/>
  <c r="AK57" s="1"/>
  <c r="AM57" s="1"/>
  <c r="AH56"/>
  <c r="AL56" s="1"/>
  <c r="AN56" s="1"/>
  <c r="AF58"/>
  <c r="AG58" s="1"/>
  <c r="AK58" s="1"/>
  <c r="AM58" s="1"/>
  <c r="AH60"/>
  <c r="AL60" s="1"/>
  <c r="AN60" s="1"/>
  <c r="AF57"/>
  <c r="AH57" s="1"/>
  <c r="AL57" s="1"/>
  <c r="AN57" s="1"/>
  <c r="AF61"/>
  <c r="AG61" s="1"/>
  <c r="AK61" s="1"/>
  <c r="AM61" s="1"/>
  <c r="AF34"/>
  <c r="AG34" s="1"/>
  <c r="AK34" s="1"/>
  <c r="AM34" s="1"/>
  <c r="AH34"/>
  <c r="AL34" s="1"/>
  <c r="AN34" s="1"/>
  <c r="AF16"/>
  <c r="AH16" s="1"/>
  <c r="AF20"/>
  <c r="AH20" s="1"/>
  <c r="AE19"/>
  <c r="AF22"/>
  <c r="AG22" s="1"/>
  <c r="AF18"/>
  <c r="AG18" s="1"/>
  <c r="AK18" s="1"/>
  <c r="AM18" s="1"/>
  <c r="AF14"/>
  <c r="AH14" s="1"/>
  <c r="AL14" s="1"/>
  <c r="AN14" s="1"/>
  <c r="AG14"/>
  <c r="AK14" s="1"/>
  <c r="AM14" s="1"/>
  <c r="AF30"/>
  <c r="AG30" s="1"/>
  <c r="AK30" s="1"/>
  <c r="AM30" s="1"/>
  <c r="AG39"/>
  <c r="AK39" s="1"/>
  <c r="AM39" s="1"/>
  <c r="AH39"/>
  <c r="AL39" s="1"/>
  <c r="AN39" s="1"/>
  <c r="AH22"/>
  <c r="AF44"/>
  <c r="AF27"/>
  <c r="AG27" s="1"/>
  <c r="AF26"/>
  <c r="AH26" s="1"/>
  <c r="AL22" s="1"/>
  <c r="AN22" s="1"/>
  <c r="AG26"/>
  <c r="AK22" s="1"/>
  <c r="AM22" s="1"/>
  <c r="AG38"/>
  <c r="AH38"/>
  <c r="AE12"/>
  <c r="AE13"/>
  <c r="AF13" s="1"/>
  <c r="AF15"/>
  <c r="AG15" s="1"/>
  <c r="AE17"/>
  <c r="AF21"/>
  <c r="AG21" s="1"/>
  <c r="AE23"/>
  <c r="AF24"/>
  <c r="AG24" s="1"/>
  <c r="AK24" s="1"/>
  <c r="AM24" s="1"/>
  <c r="AE25"/>
  <c r="AF25" s="1"/>
  <c r="AG20"/>
  <c r="AK27" s="1"/>
  <c r="AM27" s="1"/>
  <c r="AF28"/>
  <c r="AG28" s="1"/>
  <c r="AK28" s="1"/>
  <c r="AM28" s="1"/>
  <c r="AE29"/>
  <c r="AF32"/>
  <c r="AH32" s="1"/>
  <c r="AL32" s="1"/>
  <c r="AN32" s="1"/>
  <c r="AE33"/>
  <c r="AF38"/>
  <c r="AF39"/>
  <c r="AE40"/>
  <c r="AF43"/>
  <c r="AG43" s="1"/>
  <c r="AK43" s="1"/>
  <c r="AM43" s="1"/>
  <c r="AE44"/>
  <c r="AF47"/>
  <c r="AG47" s="1"/>
  <c r="AK47" s="1"/>
  <c r="AM47" s="1"/>
  <c r="AE48"/>
  <c r="AF51"/>
  <c r="AH51" s="1"/>
  <c r="AL51" s="1"/>
  <c r="AN51" s="1"/>
  <c r="AE52"/>
  <c r="AF52" s="1"/>
  <c r="AF31"/>
  <c r="AG31" s="1"/>
  <c r="AK31" s="1"/>
  <c r="AM31" s="1"/>
  <c r="AF35"/>
  <c r="AH35" s="1"/>
  <c r="AL35" s="1"/>
  <c r="AN35" s="1"/>
  <c r="AF42"/>
  <c r="AH42" s="1"/>
  <c r="AL42" s="1"/>
  <c r="AN42" s="1"/>
  <c r="AF46"/>
  <c r="AG46" s="1"/>
  <c r="AK46" s="1"/>
  <c r="AM46" s="1"/>
  <c r="AF50"/>
  <c r="AH50" s="1"/>
  <c r="AL50" s="1"/>
  <c r="AN50" s="1"/>
  <c r="E59" i="22"/>
  <c r="F59" s="1"/>
  <c r="F55"/>
  <c r="F53" i="18"/>
  <c r="G53" s="1"/>
  <c r="F49"/>
  <c r="G49" s="1"/>
  <c r="F50"/>
  <c r="F42"/>
  <c r="G42" s="1"/>
  <c r="F55"/>
  <c r="F39"/>
  <c r="G39" s="1"/>
  <c r="F48" i="17"/>
  <c r="G48" s="1"/>
  <c r="F58"/>
  <c r="G58" s="1"/>
  <c r="F53"/>
  <c r="G53" s="1"/>
  <c r="F46"/>
  <c r="G46" s="1"/>
  <c r="F42"/>
  <c r="G42" s="1"/>
  <c r="F28"/>
  <c r="F31"/>
  <c r="G31" s="1"/>
  <c r="F18"/>
  <c r="G18" s="1"/>
  <c r="E28"/>
  <c r="F110" i="29"/>
  <c r="F113"/>
  <c r="G113" s="1"/>
  <c r="K113" s="1"/>
  <c r="M113" s="1"/>
  <c r="F102"/>
  <c r="G102" s="1"/>
  <c r="F107"/>
  <c r="G107" s="1"/>
  <c r="G110"/>
  <c r="F34"/>
  <c r="G34" s="1"/>
  <c r="F104"/>
  <c r="H104" s="1"/>
  <c r="F91"/>
  <c r="G91" s="1"/>
  <c r="F103"/>
  <c r="G103" s="1"/>
  <c r="F92"/>
  <c r="G92" s="1"/>
  <c r="G104"/>
  <c r="F111"/>
  <c r="F98"/>
  <c r="H98" s="1"/>
  <c r="H91"/>
  <c r="F101"/>
  <c r="G101" s="1"/>
  <c r="F109"/>
  <c r="H109" s="1"/>
  <c r="F100"/>
  <c r="G100" s="1"/>
  <c r="G111"/>
  <c r="H107"/>
  <c r="F96"/>
  <c r="G96" s="1"/>
  <c r="E90"/>
  <c r="E97"/>
  <c r="E99"/>
  <c r="E94"/>
  <c r="F94" s="1"/>
  <c r="E106"/>
  <c r="E112"/>
  <c r="F93"/>
  <c r="H93" s="1"/>
  <c r="F105"/>
  <c r="G105" s="1"/>
  <c r="F108"/>
  <c r="G108" s="1"/>
  <c r="H111"/>
  <c r="F95"/>
  <c r="G95" s="1"/>
  <c r="H110"/>
  <c r="H34" i="30"/>
  <c r="F33"/>
  <c r="G33" s="1"/>
  <c r="H32"/>
  <c r="G32"/>
  <c r="E31"/>
  <c r="F31" s="1"/>
  <c r="F30"/>
  <c r="H30" s="1"/>
  <c r="F29"/>
  <c r="G29" s="1"/>
  <c r="H28"/>
  <c r="E27"/>
  <c r="F27" s="1"/>
  <c r="F26"/>
  <c r="H26" s="1"/>
  <c r="F25"/>
  <c r="G25" s="1"/>
  <c r="H24"/>
  <c r="E23"/>
  <c r="F23" s="1"/>
  <c r="G22"/>
  <c r="H22"/>
  <c r="F22"/>
  <c r="F21"/>
  <c r="G21" s="1"/>
  <c r="H20"/>
  <c r="G20"/>
  <c r="E19"/>
  <c r="F18"/>
  <c r="H18" s="1"/>
  <c r="G17"/>
  <c r="F15"/>
  <c r="E15"/>
  <c r="F14"/>
  <c r="H14" s="1"/>
  <c r="P38"/>
  <c r="R38" s="1"/>
  <c r="T38" s="1"/>
  <c r="H13"/>
  <c r="G13"/>
  <c r="Q38"/>
  <c r="S38" s="1"/>
  <c r="U38" s="1"/>
  <c r="F13"/>
  <c r="G65" i="29"/>
  <c r="H65"/>
  <c r="F69"/>
  <c r="H69" s="1"/>
  <c r="E66"/>
  <c r="F66" s="1"/>
  <c r="G66" s="1"/>
  <c r="E64"/>
  <c r="F64" s="1"/>
  <c r="F68"/>
  <c r="G68" s="1"/>
  <c r="F70"/>
  <c r="H70" s="1"/>
  <c r="G72"/>
  <c r="H72"/>
  <c r="F74"/>
  <c r="G74" s="1"/>
  <c r="E75"/>
  <c r="F75" s="1"/>
  <c r="F76"/>
  <c r="E76"/>
  <c r="F78"/>
  <c r="G78"/>
  <c r="F84"/>
  <c r="H84" s="1"/>
  <c r="G85"/>
  <c r="F85"/>
  <c r="H85" s="1"/>
  <c r="F86"/>
  <c r="G86" s="1"/>
  <c r="E83"/>
  <c r="F83" s="1"/>
  <c r="F81"/>
  <c r="F80"/>
  <c r="G80"/>
  <c r="G81"/>
  <c r="F87"/>
  <c r="F82"/>
  <c r="G82" s="1"/>
  <c r="E79"/>
  <c r="F79" s="1"/>
  <c r="E87"/>
  <c r="G84"/>
  <c r="E77"/>
  <c r="F77" s="1"/>
  <c r="E73"/>
  <c r="E67"/>
  <c r="E71"/>
  <c r="F71" s="1"/>
  <c r="H80"/>
  <c r="H81"/>
  <c r="H78"/>
  <c r="H68"/>
  <c r="H42"/>
  <c r="G42"/>
  <c r="F43"/>
  <c r="G43" s="1"/>
  <c r="F46"/>
  <c r="H46" s="1"/>
  <c r="E38"/>
  <c r="F38" s="1"/>
  <c r="F44"/>
  <c r="G44" s="1"/>
  <c r="E59"/>
  <c r="F59" s="1"/>
  <c r="F50"/>
  <c r="H50" s="1"/>
  <c r="F39"/>
  <c r="G39" s="1"/>
  <c r="H41"/>
  <c r="G41"/>
  <c r="E40"/>
  <c r="F40" s="1"/>
  <c r="F45"/>
  <c r="H45" s="1"/>
  <c r="F47"/>
  <c r="G47" s="1"/>
  <c r="H48"/>
  <c r="G48"/>
  <c r="E61"/>
  <c r="F61" s="1"/>
  <c r="F60"/>
  <c r="H60" s="1"/>
  <c r="F52"/>
  <c r="G52" s="1"/>
  <c r="H57"/>
  <c r="G57"/>
  <c r="E54"/>
  <c r="F54" s="1"/>
  <c r="F55"/>
  <c r="H55" s="1"/>
  <c r="F56"/>
  <c r="G56" s="1"/>
  <c r="H53"/>
  <c r="G53"/>
  <c r="E58"/>
  <c r="F58" s="1"/>
  <c r="F49"/>
  <c r="G49" s="1"/>
  <c r="H51"/>
  <c r="G51"/>
  <c r="E13"/>
  <c r="F13" s="1"/>
  <c r="F12"/>
  <c r="H12" s="1"/>
  <c r="G15"/>
  <c r="H15"/>
  <c r="F18"/>
  <c r="G18" s="1"/>
  <c r="F16"/>
  <c r="G16" s="1"/>
  <c r="F14"/>
  <c r="G14" s="1"/>
  <c r="E17"/>
  <c r="F17" s="1"/>
  <c r="F20"/>
  <c r="H20" s="1"/>
  <c r="E19"/>
  <c r="F19" s="1"/>
  <c r="F21"/>
  <c r="H21" s="1"/>
  <c r="F22"/>
  <c r="G22" s="1"/>
  <c r="H23"/>
  <c r="G23"/>
  <c r="E24"/>
  <c r="F24" s="1"/>
  <c r="F25"/>
  <c r="H25" s="1"/>
  <c r="F26"/>
  <c r="G26" s="1"/>
  <c r="H27"/>
  <c r="G27"/>
  <c r="E28"/>
  <c r="F28" s="1"/>
  <c r="F29"/>
  <c r="H29" s="1"/>
  <c r="F30"/>
  <c r="G30" s="1"/>
  <c r="F31"/>
  <c r="H31" s="1"/>
  <c r="E32"/>
  <c r="H34"/>
  <c r="H35"/>
  <c r="F35"/>
  <c r="G35" s="1"/>
  <c r="F33"/>
  <c r="G33" s="1"/>
  <c r="F34" i="28"/>
  <c r="H34" s="1"/>
  <c r="H33"/>
  <c r="G33"/>
  <c r="F33"/>
  <c r="H32"/>
  <c r="G32"/>
  <c r="E31"/>
  <c r="F31" s="1"/>
  <c r="F30"/>
  <c r="H30" s="1"/>
  <c r="F29"/>
  <c r="G29" s="1"/>
  <c r="H28"/>
  <c r="G28"/>
  <c r="E27"/>
  <c r="F27" s="1"/>
  <c r="F26"/>
  <c r="H26" s="1"/>
  <c r="F25"/>
  <c r="G25" s="1"/>
  <c r="H24"/>
  <c r="E23"/>
  <c r="F23" s="1"/>
  <c r="F22"/>
  <c r="H22" s="1"/>
  <c r="G21"/>
  <c r="F20"/>
  <c r="H20" s="1"/>
  <c r="E19"/>
  <c r="F19" s="1"/>
  <c r="F18"/>
  <c r="H18" s="1"/>
  <c r="F17"/>
  <c r="G17" s="1"/>
  <c r="H16"/>
  <c r="G16"/>
  <c r="P38"/>
  <c r="R38" s="1"/>
  <c r="T38" s="1"/>
  <c r="E15"/>
  <c r="F15" s="1"/>
  <c r="F14"/>
  <c r="H14" s="1"/>
  <c r="F13"/>
  <c r="G13" s="1"/>
  <c r="G12"/>
  <c r="Q38"/>
  <c r="S38" s="1"/>
  <c r="U38" s="1"/>
  <c r="E60" i="27"/>
  <c r="F60" s="1"/>
  <c r="F59"/>
  <c r="H59" s="1"/>
  <c r="L59" s="1"/>
  <c r="N59" s="1"/>
  <c r="F58"/>
  <c r="G58" s="1"/>
  <c r="K58" s="1"/>
  <c r="M58" s="1"/>
  <c r="F57"/>
  <c r="H57" s="1"/>
  <c r="L57" s="1"/>
  <c r="N57" s="1"/>
  <c r="E56"/>
  <c r="F56" s="1"/>
  <c r="F55"/>
  <c r="H55" s="1"/>
  <c r="L55" s="1"/>
  <c r="N55" s="1"/>
  <c r="F54"/>
  <c r="G54" s="1"/>
  <c r="K54" s="1"/>
  <c r="M54" s="1"/>
  <c r="H53"/>
  <c r="L53" s="1"/>
  <c r="N53" s="1"/>
  <c r="G53"/>
  <c r="K53" s="1"/>
  <c r="M53" s="1"/>
  <c r="E52"/>
  <c r="F51"/>
  <c r="H51" s="1"/>
  <c r="L51" s="1"/>
  <c r="N51" s="1"/>
  <c r="F50"/>
  <c r="G50" s="1"/>
  <c r="K50" s="1"/>
  <c r="M50" s="1"/>
  <c r="H49"/>
  <c r="L49" s="1"/>
  <c r="N49" s="1"/>
  <c r="G49"/>
  <c r="K49" s="1"/>
  <c r="M49" s="1"/>
  <c r="E48"/>
  <c r="F48" s="1"/>
  <c r="F47"/>
  <c r="H47" s="1"/>
  <c r="L47" s="1"/>
  <c r="N47" s="1"/>
  <c r="F46"/>
  <c r="G46" s="1"/>
  <c r="K46" s="1"/>
  <c r="M46" s="1"/>
  <c r="H45"/>
  <c r="L45" s="1"/>
  <c r="N45" s="1"/>
  <c r="G45"/>
  <c r="K45" s="1"/>
  <c r="M45" s="1"/>
  <c r="E44"/>
  <c r="F44" s="1"/>
  <c r="F43"/>
  <c r="H43" s="1"/>
  <c r="L43" s="1"/>
  <c r="N43" s="1"/>
  <c r="F42"/>
  <c r="G42" s="1"/>
  <c r="K42" s="1"/>
  <c r="M42" s="1"/>
  <c r="H41"/>
  <c r="L41" s="1"/>
  <c r="N41" s="1"/>
  <c r="G41"/>
  <c r="K41" s="1"/>
  <c r="M41" s="1"/>
  <c r="E40"/>
  <c r="F40" s="1"/>
  <c r="F39"/>
  <c r="H39" s="1"/>
  <c r="L39" s="1"/>
  <c r="N39" s="1"/>
  <c r="E38"/>
  <c r="F38" s="1"/>
  <c r="E32"/>
  <c r="F32" s="1"/>
  <c r="F31"/>
  <c r="H31" s="1"/>
  <c r="G30"/>
  <c r="F30"/>
  <c r="H30" s="1"/>
  <c r="H29"/>
  <c r="G29"/>
  <c r="E28"/>
  <c r="F28" s="1"/>
  <c r="F27"/>
  <c r="H27" s="1"/>
  <c r="F26"/>
  <c r="G26" s="1"/>
  <c r="H25"/>
  <c r="G25"/>
  <c r="E24"/>
  <c r="F24" s="1"/>
  <c r="H23"/>
  <c r="F22"/>
  <c r="G22" s="1"/>
  <c r="H21"/>
  <c r="G21"/>
  <c r="E20"/>
  <c r="F20" s="1"/>
  <c r="F19"/>
  <c r="H19" s="1"/>
  <c r="F18"/>
  <c r="G18" s="1"/>
  <c r="H17"/>
  <c r="G17"/>
  <c r="E16"/>
  <c r="F16" s="1"/>
  <c r="F15"/>
  <c r="H15" s="1"/>
  <c r="F14"/>
  <c r="G14" s="1"/>
  <c r="H13"/>
  <c r="H12"/>
  <c r="G82" i="25"/>
  <c r="F82"/>
  <c r="H82" s="1"/>
  <c r="F80"/>
  <c r="F81"/>
  <c r="G81" s="1"/>
  <c r="F83"/>
  <c r="G83" s="1"/>
  <c r="E80"/>
  <c r="F79"/>
  <c r="G79" s="1"/>
  <c r="F112"/>
  <c r="G112" s="1"/>
  <c r="F108"/>
  <c r="G108" s="1"/>
  <c r="F104"/>
  <c r="G104" s="1"/>
  <c r="F101"/>
  <c r="G101" s="1"/>
  <c r="E102"/>
  <c r="F106"/>
  <c r="G106" s="1"/>
  <c r="K106" s="1"/>
  <c r="M106" s="1"/>
  <c r="E107"/>
  <c r="F107" s="1"/>
  <c r="F110"/>
  <c r="H110" s="1"/>
  <c r="L110" s="1"/>
  <c r="N110" s="1"/>
  <c r="E111"/>
  <c r="F111" s="1"/>
  <c r="F105"/>
  <c r="H105" s="1"/>
  <c r="F109"/>
  <c r="H109" s="1"/>
  <c r="L109" s="1"/>
  <c r="N109" s="1"/>
  <c r="E69"/>
  <c r="F69" s="1"/>
  <c r="G69" s="1"/>
  <c r="F71"/>
  <c r="G71" s="1"/>
  <c r="F97"/>
  <c r="G97" s="1"/>
  <c r="F98"/>
  <c r="H98" s="1"/>
  <c r="F99"/>
  <c r="G99" s="1"/>
  <c r="F92"/>
  <c r="G92" s="1"/>
  <c r="F93"/>
  <c r="H93" s="1"/>
  <c r="F90"/>
  <c r="G90" s="1"/>
  <c r="F113"/>
  <c r="G113"/>
  <c r="K113" s="1"/>
  <c r="M113" s="1"/>
  <c r="H113"/>
  <c r="L113" s="1"/>
  <c r="N113" s="1"/>
  <c r="G98"/>
  <c r="F103"/>
  <c r="G103" s="1"/>
  <c r="F95"/>
  <c r="H95" s="1"/>
  <c r="E91"/>
  <c r="E96"/>
  <c r="F96" s="1"/>
  <c r="E100"/>
  <c r="F100" s="1"/>
  <c r="F94"/>
  <c r="H94" s="1"/>
  <c r="H78"/>
  <c r="G78"/>
  <c r="F84"/>
  <c r="H84" s="1"/>
  <c r="H85"/>
  <c r="G85"/>
  <c r="F86"/>
  <c r="H86" s="1"/>
  <c r="F87"/>
  <c r="G87" s="1"/>
  <c r="E77"/>
  <c r="F77" s="1"/>
  <c r="F76"/>
  <c r="H76" s="1"/>
  <c r="H75"/>
  <c r="G75"/>
  <c r="E72"/>
  <c r="F74"/>
  <c r="H74" s="1"/>
  <c r="F73"/>
  <c r="G73" s="1"/>
  <c r="E70"/>
  <c r="F70" s="1"/>
  <c r="F67"/>
  <c r="H67" s="1"/>
  <c r="H68"/>
  <c r="G68"/>
  <c r="E66"/>
  <c r="F66" s="1"/>
  <c r="F65"/>
  <c r="H65" s="1"/>
  <c r="H64"/>
  <c r="G64"/>
  <c r="F61"/>
  <c r="H61" s="1"/>
  <c r="F60"/>
  <c r="G60" s="1"/>
  <c r="F59"/>
  <c r="G59" s="1"/>
  <c r="E58"/>
  <c r="F58" s="1"/>
  <c r="F57"/>
  <c r="H57" s="1"/>
  <c r="F56"/>
  <c r="G56" s="1"/>
  <c r="H55"/>
  <c r="G55"/>
  <c r="E54"/>
  <c r="F54" s="1"/>
  <c r="F53"/>
  <c r="H53" s="1"/>
  <c r="F52"/>
  <c r="G52" s="1"/>
  <c r="H51"/>
  <c r="G51"/>
  <c r="E50"/>
  <c r="F49"/>
  <c r="H49" s="1"/>
  <c r="F48"/>
  <c r="G48" s="1"/>
  <c r="H47"/>
  <c r="G47"/>
  <c r="E46"/>
  <c r="F46" s="1"/>
  <c r="F45"/>
  <c r="H45" s="1"/>
  <c r="F44"/>
  <c r="G44" s="1"/>
  <c r="H43"/>
  <c r="G43"/>
  <c r="E42"/>
  <c r="F42" s="1"/>
  <c r="F41"/>
  <c r="H41" s="1"/>
  <c r="F40"/>
  <c r="H40" s="1"/>
  <c r="H39"/>
  <c r="G39"/>
  <c r="F38"/>
  <c r="H38" s="1"/>
  <c r="F35"/>
  <c r="G35" s="1"/>
  <c r="H34"/>
  <c r="G34"/>
  <c r="F33"/>
  <c r="H33" s="1"/>
  <c r="F32"/>
  <c r="H32" s="1"/>
  <c r="F31"/>
  <c r="G31" s="1"/>
  <c r="H30"/>
  <c r="G30"/>
  <c r="F29"/>
  <c r="H29" s="1"/>
  <c r="F28"/>
  <c r="H28" s="1"/>
  <c r="F27"/>
  <c r="G27" s="1"/>
  <c r="H26"/>
  <c r="G26"/>
  <c r="E25"/>
  <c r="F25" s="1"/>
  <c r="F24"/>
  <c r="H24" s="1"/>
  <c r="F23"/>
  <c r="G23" s="1"/>
  <c r="H22"/>
  <c r="G22"/>
  <c r="E21"/>
  <c r="F21" s="1"/>
  <c r="F20"/>
  <c r="H20" s="1"/>
  <c r="H19"/>
  <c r="F19"/>
  <c r="G19" s="1"/>
  <c r="H18"/>
  <c r="G18"/>
  <c r="E17"/>
  <c r="F17" s="1"/>
  <c r="F16"/>
  <c r="H16" s="1"/>
  <c r="F15"/>
  <c r="G15" s="1"/>
  <c r="H14"/>
  <c r="G14"/>
  <c r="E13"/>
  <c r="F13" s="1"/>
  <c r="E12"/>
  <c r="F12" s="1"/>
  <c r="G30" i="23"/>
  <c r="F30"/>
  <c r="H30"/>
  <c r="G59"/>
  <c r="F59"/>
  <c r="H59" s="1"/>
  <c r="F58"/>
  <c r="G58" s="1"/>
  <c r="E61"/>
  <c r="F60"/>
  <c r="H60" s="1"/>
  <c r="E57"/>
  <c r="F57" s="1"/>
  <c r="F56"/>
  <c r="G56" s="1"/>
  <c r="F23"/>
  <c r="H42"/>
  <c r="G42"/>
  <c r="F42"/>
  <c r="H49"/>
  <c r="H46"/>
  <c r="G46"/>
  <c r="F46"/>
  <c r="H50"/>
  <c r="G50"/>
  <c r="F50"/>
  <c r="F54"/>
  <c r="G54" s="1"/>
  <c r="F53"/>
  <c r="H53" s="1"/>
  <c r="F49"/>
  <c r="G49" s="1"/>
  <c r="F45"/>
  <c r="G45" s="1"/>
  <c r="F41"/>
  <c r="H41" s="1"/>
  <c r="F55"/>
  <c r="H55" s="1"/>
  <c r="E52"/>
  <c r="F52" s="1"/>
  <c r="F51"/>
  <c r="H51" s="1"/>
  <c r="E48"/>
  <c r="F47"/>
  <c r="G47" s="1"/>
  <c r="E44"/>
  <c r="F44" s="1"/>
  <c r="F43"/>
  <c r="G43" s="1"/>
  <c r="E40"/>
  <c r="F39"/>
  <c r="G39" s="1"/>
  <c r="F16"/>
  <c r="G16" s="1"/>
  <c r="F20"/>
  <c r="G20" s="1"/>
  <c r="F24"/>
  <c r="G24" s="1"/>
  <c r="F28"/>
  <c r="H28" s="1"/>
  <c r="F27"/>
  <c r="G27" s="1"/>
  <c r="G23"/>
  <c r="F19"/>
  <c r="H19" s="1"/>
  <c r="F15"/>
  <c r="G15" s="1"/>
  <c r="F29"/>
  <c r="G29" s="1"/>
  <c r="E26"/>
  <c r="F25"/>
  <c r="G25" s="1"/>
  <c r="E22"/>
  <c r="F21"/>
  <c r="H21" s="1"/>
  <c r="E18"/>
  <c r="F18" s="1"/>
  <c r="F17"/>
  <c r="H17" s="1"/>
  <c r="E14"/>
  <c r="F13"/>
  <c r="H13" s="1"/>
  <c r="H38"/>
  <c r="G38"/>
  <c r="F12"/>
  <c r="G12" s="1"/>
  <c r="H55" i="22"/>
  <c r="G55"/>
  <c r="H58"/>
  <c r="F48"/>
  <c r="H48" s="1"/>
  <c r="E51"/>
  <c r="F51" s="1"/>
  <c r="G51" s="1"/>
  <c r="F23"/>
  <c r="G23" s="1"/>
  <c r="E45"/>
  <c r="F45" s="1"/>
  <c r="F57"/>
  <c r="H57" s="1"/>
  <c r="F56"/>
  <c r="G56" s="1"/>
  <c r="H54"/>
  <c r="G54"/>
  <c r="E41"/>
  <c r="F41" s="1"/>
  <c r="F49"/>
  <c r="H49" s="1"/>
  <c r="G48"/>
  <c r="H53"/>
  <c r="G53"/>
  <c r="E52"/>
  <c r="F52" s="1"/>
  <c r="F50"/>
  <c r="H50" s="1"/>
  <c r="H46"/>
  <c r="G46"/>
  <c r="E38"/>
  <c r="F38" s="1"/>
  <c r="F47"/>
  <c r="H47" s="1"/>
  <c r="F44"/>
  <c r="G44" s="1"/>
  <c r="F43"/>
  <c r="H43" s="1"/>
  <c r="E42"/>
  <c r="F42" s="1"/>
  <c r="F40"/>
  <c r="H40" s="1"/>
  <c r="E39"/>
  <c r="F12"/>
  <c r="H12" s="1"/>
  <c r="F13"/>
  <c r="H13" s="1"/>
  <c r="H14"/>
  <c r="G14"/>
  <c r="F22"/>
  <c r="H22" s="1"/>
  <c r="H23"/>
  <c r="F19"/>
  <c r="G19" s="1"/>
  <c r="H20"/>
  <c r="G20"/>
  <c r="E26"/>
  <c r="F26" s="1"/>
  <c r="F32"/>
  <c r="G32" s="1"/>
  <c r="F34"/>
  <c r="G34" s="1"/>
  <c r="H30"/>
  <c r="G30"/>
  <c r="E33"/>
  <c r="F33" s="1"/>
  <c r="H27"/>
  <c r="F27"/>
  <c r="G27" s="1"/>
  <c r="F28"/>
  <c r="G28" s="1"/>
  <c r="F25"/>
  <c r="H25" s="1"/>
  <c r="E16"/>
  <c r="F16" s="1"/>
  <c r="F24"/>
  <c r="H24" s="1"/>
  <c r="F29"/>
  <c r="G29" s="1"/>
  <c r="H17"/>
  <c r="G17"/>
  <c r="E15"/>
  <c r="F15" s="1"/>
  <c r="F18"/>
  <c r="H18" s="1"/>
  <c r="F21"/>
  <c r="H21" s="1"/>
  <c r="H31"/>
  <c r="G31"/>
  <c r="E35"/>
  <c r="F35" s="1"/>
  <c r="K16" i="21"/>
  <c r="E32"/>
  <c r="F32" s="1"/>
  <c r="F31"/>
  <c r="F30"/>
  <c r="F28"/>
  <c r="F24"/>
  <c r="F20"/>
  <c r="F19"/>
  <c r="P38"/>
  <c r="R38" s="1"/>
  <c r="T38" s="1"/>
  <c r="F16"/>
  <c r="F15"/>
  <c r="F12"/>
  <c r="G12" s="1"/>
  <c r="Q38"/>
  <c r="S38" s="1"/>
  <c r="U38" s="1"/>
  <c r="H33" i="20"/>
  <c r="G33"/>
  <c r="F32"/>
  <c r="H32" s="1"/>
  <c r="H31"/>
  <c r="G31"/>
  <c r="F29"/>
  <c r="H29" s="1"/>
  <c r="F28"/>
  <c r="H28" s="1"/>
  <c r="H27"/>
  <c r="G27"/>
  <c r="F25"/>
  <c r="G25" s="1"/>
  <c r="H24"/>
  <c r="G24"/>
  <c r="G23"/>
  <c r="G22"/>
  <c r="H22"/>
  <c r="F22"/>
  <c r="F21"/>
  <c r="G21" s="1"/>
  <c r="F20"/>
  <c r="G20"/>
  <c r="H20"/>
  <c r="H19"/>
  <c r="G19"/>
  <c r="F18"/>
  <c r="H18" s="1"/>
  <c r="F17"/>
  <c r="G17" s="1"/>
  <c r="P38"/>
  <c r="R38" s="1"/>
  <c r="T38" s="1"/>
  <c r="G16"/>
  <c r="H15"/>
  <c r="G15"/>
  <c r="F13"/>
  <c r="H13" s="1"/>
  <c r="F12"/>
  <c r="H12" s="1"/>
  <c r="Q38"/>
  <c r="S38" s="1"/>
  <c r="U38" s="1"/>
  <c r="H46" i="17"/>
  <c r="E49"/>
  <c r="F49" s="1"/>
  <c r="H48"/>
  <c r="G56"/>
  <c r="H56"/>
  <c r="F56"/>
  <c r="E59"/>
  <c r="F61"/>
  <c r="G61" s="1"/>
  <c r="F39"/>
  <c r="G39" s="1"/>
  <c r="F52"/>
  <c r="H52" s="1"/>
  <c r="E45"/>
  <c r="F45" s="1"/>
  <c r="H53"/>
  <c r="F55"/>
  <c r="G55" s="1"/>
  <c r="F38"/>
  <c r="H38" s="1"/>
  <c r="E44"/>
  <c r="F44" s="1"/>
  <c r="F54"/>
  <c r="H54" s="1"/>
  <c r="F47"/>
  <c r="G47" s="1"/>
  <c r="F40"/>
  <c r="G40" s="1"/>
  <c r="F43"/>
  <c r="E43"/>
  <c r="F41"/>
  <c r="G41" s="1"/>
  <c r="F60"/>
  <c r="G60" s="1"/>
  <c r="F26"/>
  <c r="H26" s="1"/>
  <c r="H25"/>
  <c r="F25"/>
  <c r="G25" s="1"/>
  <c r="F23"/>
  <c r="H23" s="1"/>
  <c r="F22"/>
  <c r="H22" s="1"/>
  <c r="G28"/>
  <c r="H28"/>
  <c r="F13"/>
  <c r="G13" s="1"/>
  <c r="F15"/>
  <c r="H15" s="1"/>
  <c r="E16"/>
  <c r="F16" s="1"/>
  <c r="F14"/>
  <c r="H14" s="1"/>
  <c r="F24"/>
  <c r="G24" s="1"/>
  <c r="F27"/>
  <c r="G27" s="1"/>
  <c r="E17"/>
  <c r="F17" s="1"/>
  <c r="F12"/>
  <c r="G12" s="1"/>
  <c r="F20"/>
  <c r="H20" s="1"/>
  <c r="F21"/>
  <c r="H21" s="1"/>
  <c r="F29"/>
  <c r="H29" s="1"/>
  <c r="E32"/>
  <c r="F33"/>
  <c r="H33" s="1"/>
  <c r="F34"/>
  <c r="G34" s="1"/>
  <c r="H30"/>
  <c r="F30"/>
  <c r="G30" s="1"/>
  <c r="H31"/>
  <c r="H18"/>
  <c r="F19"/>
  <c r="H19" s="1"/>
  <c r="H61" i="16"/>
  <c r="L61" s="1"/>
  <c r="N61" s="1"/>
  <c r="E60"/>
  <c r="F60" s="1"/>
  <c r="G59"/>
  <c r="K59" s="1"/>
  <c r="M59" s="1"/>
  <c r="H59"/>
  <c r="L59" s="1"/>
  <c r="N59" s="1"/>
  <c r="F59"/>
  <c r="H58"/>
  <c r="L58" s="1"/>
  <c r="N58" s="1"/>
  <c r="F58"/>
  <c r="G58" s="1"/>
  <c r="K58" s="1"/>
  <c r="M58" s="1"/>
  <c r="H57"/>
  <c r="L57" s="1"/>
  <c r="N57" s="1"/>
  <c r="F57"/>
  <c r="G57" s="1"/>
  <c r="K57" s="1"/>
  <c r="M57" s="1"/>
  <c r="G56"/>
  <c r="K56" s="1"/>
  <c r="M56" s="1"/>
  <c r="H56"/>
  <c r="L56" s="1"/>
  <c r="N56" s="1"/>
  <c r="H55"/>
  <c r="L55" s="1"/>
  <c r="N55" s="1"/>
  <c r="H54"/>
  <c r="L54" s="1"/>
  <c r="N54" s="1"/>
  <c r="G54"/>
  <c r="K54" s="1"/>
  <c r="M54" s="1"/>
  <c r="F54"/>
  <c r="G53"/>
  <c r="K53" s="1"/>
  <c r="M53" s="1"/>
  <c r="H53"/>
  <c r="L53" s="1"/>
  <c r="N53" s="1"/>
  <c r="F53"/>
  <c r="F52"/>
  <c r="E52"/>
  <c r="G51"/>
  <c r="K51" s="1"/>
  <c r="M51" s="1"/>
  <c r="H51"/>
  <c r="L51" s="1"/>
  <c r="N51" s="1"/>
  <c r="F51"/>
  <c r="H50"/>
  <c r="L50" s="1"/>
  <c r="N50" s="1"/>
  <c r="G50"/>
  <c r="K50" s="1"/>
  <c r="M50" s="1"/>
  <c r="H49"/>
  <c r="L49" s="1"/>
  <c r="N49" s="1"/>
  <c r="G49"/>
  <c r="K49" s="1"/>
  <c r="M49" s="1"/>
  <c r="F49"/>
  <c r="E48"/>
  <c r="F48" s="1"/>
  <c r="F47"/>
  <c r="G47" s="1"/>
  <c r="K47" s="1"/>
  <c r="M47" s="1"/>
  <c r="F46"/>
  <c r="H46" s="1"/>
  <c r="L46" s="1"/>
  <c r="N46" s="1"/>
  <c r="G46"/>
  <c r="K46" s="1"/>
  <c r="M46" s="1"/>
  <c r="G45"/>
  <c r="K45" s="1"/>
  <c r="M45" s="1"/>
  <c r="H45"/>
  <c r="L45" s="1"/>
  <c r="N45" s="1"/>
  <c r="F45"/>
  <c r="E44"/>
  <c r="H43"/>
  <c r="L43" s="1"/>
  <c r="N43" s="1"/>
  <c r="H42"/>
  <c r="L42" s="1"/>
  <c r="N42" s="1"/>
  <c r="G42"/>
  <c r="K42" s="1"/>
  <c r="M42" s="1"/>
  <c r="F41"/>
  <c r="G41" s="1"/>
  <c r="K41" s="1"/>
  <c r="M41" s="1"/>
  <c r="F40"/>
  <c r="E40"/>
  <c r="G39"/>
  <c r="K39" s="1"/>
  <c r="M39" s="1"/>
  <c r="H39"/>
  <c r="L39" s="1"/>
  <c r="N39" s="1"/>
  <c r="F39"/>
  <c r="H38"/>
  <c r="G38"/>
  <c r="F38"/>
  <c r="E35"/>
  <c r="F35" s="1"/>
  <c r="H34"/>
  <c r="F33"/>
  <c r="H33" s="1"/>
  <c r="F32"/>
  <c r="G32" s="1"/>
  <c r="E31"/>
  <c r="F31" s="1"/>
  <c r="G30"/>
  <c r="H30"/>
  <c r="F29"/>
  <c r="G29" s="1"/>
  <c r="F28"/>
  <c r="H28" s="1"/>
  <c r="E27"/>
  <c r="H26"/>
  <c r="F25"/>
  <c r="H25" s="1"/>
  <c r="H24"/>
  <c r="H23"/>
  <c r="G22"/>
  <c r="H22"/>
  <c r="F21"/>
  <c r="G21" s="1"/>
  <c r="F20"/>
  <c r="H20" s="1"/>
  <c r="E19"/>
  <c r="F19" s="1"/>
  <c r="G18"/>
  <c r="F17"/>
  <c r="G17" s="1"/>
  <c r="F16"/>
  <c r="G16" s="1"/>
  <c r="E15"/>
  <c r="F15" s="1"/>
  <c r="F14"/>
  <c r="H14" s="1"/>
  <c r="F13"/>
  <c r="G13" s="1"/>
  <c r="H12"/>
  <c r="G12"/>
  <c r="H38" i="18"/>
  <c r="G38"/>
  <c r="E43"/>
  <c r="F43" s="1"/>
  <c r="H49"/>
  <c r="F52"/>
  <c r="G52" s="1"/>
  <c r="F44"/>
  <c r="H44" s="1"/>
  <c r="E56"/>
  <c r="F56" s="1"/>
  <c r="F54"/>
  <c r="H54" s="1"/>
  <c r="F47"/>
  <c r="G47" s="1"/>
  <c r="F46"/>
  <c r="G46" s="1"/>
  <c r="H46"/>
  <c r="E45"/>
  <c r="F45" s="1"/>
  <c r="H42"/>
  <c r="F58"/>
  <c r="G58" s="1"/>
  <c r="G40"/>
  <c r="H40"/>
  <c r="F40"/>
  <c r="E41"/>
  <c r="H39"/>
  <c r="F48"/>
  <c r="G48" s="1"/>
  <c r="G50"/>
  <c r="H50"/>
  <c r="E51"/>
  <c r="F51" s="1"/>
  <c r="H53"/>
  <c r="H55"/>
  <c r="G55"/>
  <c r="F57"/>
  <c r="G57" s="1"/>
  <c r="E59"/>
  <c r="F60"/>
  <c r="G60" s="1"/>
  <c r="F61"/>
  <c r="G61" s="1"/>
  <c r="E19"/>
  <c r="F19" s="1"/>
  <c r="H18"/>
  <c r="F18"/>
  <c r="G18" s="1"/>
  <c r="F21"/>
  <c r="H21" s="1"/>
  <c r="F12"/>
  <c r="H12" s="1"/>
  <c r="E13"/>
  <c r="F22"/>
  <c r="G22" s="1"/>
  <c r="H29"/>
  <c r="F29"/>
  <c r="G29" s="1"/>
  <c r="F23"/>
  <c r="H23" s="1"/>
  <c r="E20"/>
  <c r="F20" s="1"/>
  <c r="F17"/>
  <c r="H17" s="1"/>
  <c r="E16"/>
  <c r="F16" s="1"/>
  <c r="G16" s="1"/>
  <c r="G61" i="19"/>
  <c r="K61" s="1"/>
  <c r="M61" s="1"/>
  <c r="H61"/>
  <c r="L61" s="1"/>
  <c r="N61" s="1"/>
  <c r="F61"/>
  <c r="E60"/>
  <c r="F60" s="1"/>
  <c r="H59"/>
  <c r="L59" s="1"/>
  <c r="N59" s="1"/>
  <c r="F58"/>
  <c r="G58" s="1"/>
  <c r="K58" s="1"/>
  <c r="M58" s="1"/>
  <c r="H57"/>
  <c r="L57" s="1"/>
  <c r="N57" s="1"/>
  <c r="G57"/>
  <c r="K57" s="1"/>
  <c r="M57" s="1"/>
  <c r="E56"/>
  <c r="F56" s="1"/>
  <c r="F55"/>
  <c r="H55" s="1"/>
  <c r="L55" s="1"/>
  <c r="N55" s="1"/>
  <c r="G54"/>
  <c r="K54" s="1"/>
  <c r="M54" s="1"/>
  <c r="G53"/>
  <c r="K53" s="1"/>
  <c r="M53" s="1"/>
  <c r="H53"/>
  <c r="L53" s="1"/>
  <c r="N53" s="1"/>
  <c r="F53"/>
  <c r="E52"/>
  <c r="F52" s="1"/>
  <c r="H51"/>
  <c r="L51" s="1"/>
  <c r="N51" s="1"/>
  <c r="H50"/>
  <c r="L50" s="1"/>
  <c r="N50" s="1"/>
  <c r="F50"/>
  <c r="G50" s="1"/>
  <c r="K50" s="1"/>
  <c r="M50" s="1"/>
  <c r="H49"/>
  <c r="L49" s="1"/>
  <c r="N49" s="1"/>
  <c r="E48"/>
  <c r="F48" s="1"/>
  <c r="H47"/>
  <c r="L47" s="1"/>
  <c r="N47" s="1"/>
  <c r="G46"/>
  <c r="K46" s="1"/>
  <c r="M46" s="1"/>
  <c r="F46"/>
  <c r="H46" s="1"/>
  <c r="L46" s="1"/>
  <c r="N46" s="1"/>
  <c r="H45"/>
  <c r="L45" s="1"/>
  <c r="N45" s="1"/>
  <c r="E44"/>
  <c r="F44" s="1"/>
  <c r="H43"/>
  <c r="L43" s="1"/>
  <c r="N43" s="1"/>
  <c r="F42"/>
  <c r="G42" s="1"/>
  <c r="K42" s="1"/>
  <c r="M42" s="1"/>
  <c r="E40"/>
  <c r="F40" s="1"/>
  <c r="G39"/>
  <c r="K39" s="1"/>
  <c r="M39" s="1"/>
  <c r="H39"/>
  <c r="L39" s="1"/>
  <c r="N39" s="1"/>
  <c r="F39"/>
  <c r="K38"/>
  <c r="M38" s="1"/>
  <c r="L38"/>
  <c r="N38" s="1"/>
  <c r="E35"/>
  <c r="F35" s="1"/>
  <c r="H34"/>
  <c r="F33"/>
  <c r="H33" s="1"/>
  <c r="G33"/>
  <c r="H32"/>
  <c r="H31"/>
  <c r="H30"/>
  <c r="G29"/>
  <c r="F29"/>
  <c r="H29" s="1"/>
  <c r="G28"/>
  <c r="F28"/>
  <c r="H28" s="1"/>
  <c r="E27"/>
  <c r="F27" s="1"/>
  <c r="G26"/>
  <c r="H26"/>
  <c r="F25"/>
  <c r="G25" s="1"/>
  <c r="H24"/>
  <c r="F24"/>
  <c r="G24" s="1"/>
  <c r="E23"/>
  <c r="F23" s="1"/>
  <c r="H22"/>
  <c r="F21"/>
  <c r="H21" s="1"/>
  <c r="F20"/>
  <c r="G20" s="1"/>
  <c r="E19"/>
  <c r="F19" s="1"/>
  <c r="H18"/>
  <c r="H17"/>
  <c r="G17"/>
  <c r="F17"/>
  <c r="F16"/>
  <c r="G16" s="1"/>
  <c r="E15"/>
  <c r="F15" s="1"/>
  <c r="H14"/>
  <c r="H13"/>
  <c r="G13"/>
  <c r="F13"/>
  <c r="E12"/>
  <c r="H41"/>
  <c r="L41" s="1"/>
  <c r="N41" s="1"/>
  <c r="G41"/>
  <c r="K41" s="1"/>
  <c r="M41" s="1"/>
  <c r="E15" i="18"/>
  <c r="F15" s="1"/>
  <c r="F14"/>
  <c r="H14" s="1"/>
  <c r="G30"/>
  <c r="F30"/>
  <c r="H30" s="1"/>
  <c r="F32"/>
  <c r="G32" s="1"/>
  <c r="E31"/>
  <c r="F31" s="1"/>
  <c r="H25"/>
  <c r="F25"/>
  <c r="G25" s="1"/>
  <c r="F27"/>
  <c r="H27" s="1"/>
  <c r="H24"/>
  <c r="E28"/>
  <c r="F28" s="1"/>
  <c r="F33"/>
  <c r="G33" s="1"/>
  <c r="F34"/>
  <c r="G34" s="1"/>
  <c r="H35"/>
  <c r="H26"/>
  <c r="G26"/>
  <c r="F35" i="17"/>
  <c r="H35" s="1"/>
  <c r="H50"/>
  <c r="G50"/>
  <c r="F57"/>
  <c r="H57" s="1"/>
  <c r="E51"/>
  <c r="F51" s="1"/>
  <c r="E12" i="13"/>
  <c r="D13"/>
  <c r="E13" s="1"/>
  <c r="D14"/>
  <c r="E14" s="1"/>
  <c r="D15"/>
  <c r="D16"/>
  <c r="E16" s="1"/>
  <c r="D17"/>
  <c r="E17" s="1"/>
  <c r="D18"/>
  <c r="E18" s="1"/>
  <c r="D19"/>
  <c r="D20"/>
  <c r="E20" s="1"/>
  <c r="D21"/>
  <c r="E21" s="1"/>
  <c r="D22"/>
  <c r="E22" s="1"/>
  <c r="D23"/>
  <c r="D24"/>
  <c r="E24" s="1"/>
  <c r="D25"/>
  <c r="E25" s="1"/>
  <c r="D26"/>
  <c r="E26" s="1"/>
  <c r="D27"/>
  <c r="D28"/>
  <c r="E28" s="1"/>
  <c r="D29"/>
  <c r="E29" s="1"/>
  <c r="D30"/>
  <c r="E30" s="1"/>
  <c r="D31"/>
  <c r="D32"/>
  <c r="E32" s="1"/>
  <c r="D33"/>
  <c r="E33" s="1"/>
  <c r="D34"/>
  <c r="E34" s="1"/>
  <c r="D35"/>
  <c r="D38"/>
  <c r="E38" s="1"/>
  <c r="O38"/>
  <c r="D39"/>
  <c r="E39" s="1"/>
  <c r="D40"/>
  <c r="E40" s="1"/>
  <c r="D41"/>
  <c r="E41" s="1"/>
  <c r="D42"/>
  <c r="D43"/>
  <c r="E43" s="1"/>
  <c r="D44"/>
  <c r="E44"/>
  <c r="F44" s="1"/>
  <c r="D45"/>
  <c r="E45" s="1"/>
  <c r="D46"/>
  <c r="D47"/>
  <c r="E47" s="1"/>
  <c r="D48"/>
  <c r="D49"/>
  <c r="E49" s="1"/>
  <c r="D50"/>
  <c r="E50" s="1"/>
  <c r="D51"/>
  <c r="E51" s="1"/>
  <c r="D52"/>
  <c r="E52" s="1"/>
  <c r="F52" s="1"/>
  <c r="D53"/>
  <c r="E53" s="1"/>
  <c r="D54"/>
  <c r="D55"/>
  <c r="E55" s="1"/>
  <c r="D56"/>
  <c r="E56" s="1"/>
  <c r="D57"/>
  <c r="E57" s="1"/>
  <c r="D58"/>
  <c r="D59"/>
  <c r="E59" s="1"/>
  <c r="D60"/>
  <c r="E60" s="1"/>
  <c r="D61"/>
  <c r="O12"/>
  <c r="AK55" i="25" l="1"/>
  <c r="AM55" s="1"/>
  <c r="AH61"/>
  <c r="AL61" s="1"/>
  <c r="AN61" s="1"/>
  <c r="AH59"/>
  <c r="AL59" s="1"/>
  <c r="AN59" s="1"/>
  <c r="AG16"/>
  <c r="AK15" s="1"/>
  <c r="AM15" s="1"/>
  <c r="AK26"/>
  <c r="AM26" s="1"/>
  <c r="AK20"/>
  <c r="AM20" s="1"/>
  <c r="AH18"/>
  <c r="AL18" s="1"/>
  <c r="AN18" s="1"/>
  <c r="AH15"/>
  <c r="AL16" s="1"/>
  <c r="AN16" s="1"/>
  <c r="AH19"/>
  <c r="AL19" s="1"/>
  <c r="AN19" s="1"/>
  <c r="AF19"/>
  <c r="AG19" s="1"/>
  <c r="AK19" s="1"/>
  <c r="AM19" s="1"/>
  <c r="AH31"/>
  <c r="AL31" s="1"/>
  <c r="AN31" s="1"/>
  <c r="AG32"/>
  <c r="AK32" s="1"/>
  <c r="AM32" s="1"/>
  <c r="AH21"/>
  <c r="AL20" s="1"/>
  <c r="AN20" s="1"/>
  <c r="AG35"/>
  <c r="AK35" s="1"/>
  <c r="AM35" s="1"/>
  <c r="AG44"/>
  <c r="AK44" s="1"/>
  <c r="AM44" s="1"/>
  <c r="AH44"/>
  <c r="AL44" s="1"/>
  <c r="AN44" s="1"/>
  <c r="AG50"/>
  <c r="AK50" s="1"/>
  <c r="AM50" s="1"/>
  <c r="AH47"/>
  <c r="AL47" s="1"/>
  <c r="AN47" s="1"/>
  <c r="AH28"/>
  <c r="AL28" s="1"/>
  <c r="AN28" s="1"/>
  <c r="AH43"/>
  <c r="AL43" s="1"/>
  <c r="AN43" s="1"/>
  <c r="AH27"/>
  <c r="AL26" s="1"/>
  <c r="AN26" s="1"/>
  <c r="AH30"/>
  <c r="AL30" s="1"/>
  <c r="AN30" s="1"/>
  <c r="AH46"/>
  <c r="AL46" s="1"/>
  <c r="AN46" s="1"/>
  <c r="AF23"/>
  <c r="AH23" s="1"/>
  <c r="AL21" s="1"/>
  <c r="AN21" s="1"/>
  <c r="AH24"/>
  <c r="AL24" s="1"/>
  <c r="AN24" s="1"/>
  <c r="AK38"/>
  <c r="AM38" s="1"/>
  <c r="AF33"/>
  <c r="AG33" s="1"/>
  <c r="AK33" s="1"/>
  <c r="AM33" s="1"/>
  <c r="AG51"/>
  <c r="AK51" s="1"/>
  <c r="AM51" s="1"/>
  <c r="AG52"/>
  <c r="AK52" s="1"/>
  <c r="AM52" s="1"/>
  <c r="AH52"/>
  <c r="AL52" s="1"/>
  <c r="AN52" s="1"/>
  <c r="AG13"/>
  <c r="AK13" s="1"/>
  <c r="AM13" s="1"/>
  <c r="AH13"/>
  <c r="AL13" s="1"/>
  <c r="AN13" s="1"/>
  <c r="AL38"/>
  <c r="AN38" s="1"/>
  <c r="AG42"/>
  <c r="AK42" s="1"/>
  <c r="AM42" s="1"/>
  <c r="AF29"/>
  <c r="AG29" s="1"/>
  <c r="AK29" s="1"/>
  <c r="AM29" s="1"/>
  <c r="AG25"/>
  <c r="AK25" s="1"/>
  <c r="AM25" s="1"/>
  <c r="AH25"/>
  <c r="AL25" s="1"/>
  <c r="AN25" s="1"/>
  <c r="AF48"/>
  <c r="AG48" s="1"/>
  <c r="AK48" s="1"/>
  <c r="AM48" s="1"/>
  <c r="AF17"/>
  <c r="AG17" s="1"/>
  <c r="AK17" s="1"/>
  <c r="AM17" s="1"/>
  <c r="AF40"/>
  <c r="AH40" s="1"/>
  <c r="AF12"/>
  <c r="AG12" s="1"/>
  <c r="G59" i="22"/>
  <c r="H59"/>
  <c r="G43"/>
  <c r="F39"/>
  <c r="G39" s="1"/>
  <c r="G13"/>
  <c r="H61" i="18"/>
  <c r="H60"/>
  <c r="H57"/>
  <c r="G54"/>
  <c r="G14"/>
  <c r="H33"/>
  <c r="G27"/>
  <c r="H22"/>
  <c r="G21"/>
  <c r="H42" i="17"/>
  <c r="G29"/>
  <c r="H58"/>
  <c r="H41"/>
  <c r="G20"/>
  <c r="H60"/>
  <c r="G38"/>
  <c r="G52"/>
  <c r="H40"/>
  <c r="H55"/>
  <c r="G21"/>
  <c r="H12"/>
  <c r="H27"/>
  <c r="H24"/>
  <c r="H33" i="29"/>
  <c r="H18"/>
  <c r="H102"/>
  <c r="H92"/>
  <c r="H103"/>
  <c r="G109"/>
  <c r="H113"/>
  <c r="L113" s="1"/>
  <c r="N113" s="1"/>
  <c r="G20"/>
  <c r="H16"/>
  <c r="F32"/>
  <c r="G32" s="1"/>
  <c r="O64"/>
  <c r="H96"/>
  <c r="H105"/>
  <c r="H100"/>
  <c r="H108"/>
  <c r="H101"/>
  <c r="F90"/>
  <c r="G90" s="1"/>
  <c r="G98"/>
  <c r="F112"/>
  <c r="H112" s="1"/>
  <c r="L112" s="1"/>
  <c r="N112" s="1"/>
  <c r="G93"/>
  <c r="F99"/>
  <c r="H99" s="1"/>
  <c r="F106"/>
  <c r="H106" s="1"/>
  <c r="H95"/>
  <c r="G94"/>
  <c r="H94"/>
  <c r="F97"/>
  <c r="H97" s="1"/>
  <c r="H49"/>
  <c r="H33" i="30"/>
  <c r="G31"/>
  <c r="H31"/>
  <c r="G30"/>
  <c r="H29"/>
  <c r="G27"/>
  <c r="H27"/>
  <c r="G26"/>
  <c r="H25"/>
  <c r="G23"/>
  <c r="H23"/>
  <c r="H21"/>
  <c r="F19"/>
  <c r="G19" s="1"/>
  <c r="G18"/>
  <c r="H15"/>
  <c r="G15"/>
  <c r="G14"/>
  <c r="V38"/>
  <c r="W38" s="1"/>
  <c r="G69" i="29"/>
  <c r="H66"/>
  <c r="H64"/>
  <c r="G64"/>
  <c r="G70"/>
  <c r="H74"/>
  <c r="H75"/>
  <c r="G75"/>
  <c r="H76"/>
  <c r="G76"/>
  <c r="H86"/>
  <c r="G83"/>
  <c r="H83"/>
  <c r="H82"/>
  <c r="G67"/>
  <c r="G77"/>
  <c r="H77"/>
  <c r="G79"/>
  <c r="H79"/>
  <c r="F67"/>
  <c r="H67" s="1"/>
  <c r="H71"/>
  <c r="G71"/>
  <c r="G87"/>
  <c r="H87"/>
  <c r="F73"/>
  <c r="H73" s="1"/>
  <c r="H43"/>
  <c r="G46"/>
  <c r="G38"/>
  <c r="H38"/>
  <c r="H44"/>
  <c r="G59"/>
  <c r="H59"/>
  <c r="G50"/>
  <c r="H39"/>
  <c r="G40"/>
  <c r="H40"/>
  <c r="G45"/>
  <c r="H47"/>
  <c r="G61"/>
  <c r="H61"/>
  <c r="G60"/>
  <c r="H52"/>
  <c r="G54"/>
  <c r="H54"/>
  <c r="G55"/>
  <c r="H56"/>
  <c r="G58"/>
  <c r="H58"/>
  <c r="G13"/>
  <c r="H13"/>
  <c r="G12"/>
  <c r="H14"/>
  <c r="H17"/>
  <c r="G17"/>
  <c r="G19"/>
  <c r="H19"/>
  <c r="G21"/>
  <c r="H22"/>
  <c r="G24"/>
  <c r="H24"/>
  <c r="G25"/>
  <c r="H26"/>
  <c r="G28"/>
  <c r="H28"/>
  <c r="G29"/>
  <c r="H30"/>
  <c r="G31"/>
  <c r="H32"/>
  <c r="G34" i="28"/>
  <c r="G31"/>
  <c r="H31"/>
  <c r="G30"/>
  <c r="H29"/>
  <c r="G27"/>
  <c r="H27"/>
  <c r="G26"/>
  <c r="H25"/>
  <c r="G23"/>
  <c r="H23"/>
  <c r="G22"/>
  <c r="G20"/>
  <c r="G19"/>
  <c r="H19"/>
  <c r="G18"/>
  <c r="H17"/>
  <c r="G15"/>
  <c r="H15"/>
  <c r="G14"/>
  <c r="H13"/>
  <c r="V38"/>
  <c r="W38" s="1"/>
  <c r="G60" i="27"/>
  <c r="K60" s="1"/>
  <c r="M60" s="1"/>
  <c r="H60"/>
  <c r="L60" s="1"/>
  <c r="N60" s="1"/>
  <c r="G59"/>
  <c r="K59" s="1"/>
  <c r="M59" s="1"/>
  <c r="H58"/>
  <c r="L58" s="1"/>
  <c r="N58" s="1"/>
  <c r="G57"/>
  <c r="K57" s="1"/>
  <c r="M57" s="1"/>
  <c r="G56"/>
  <c r="K56" s="1"/>
  <c r="M56" s="1"/>
  <c r="H56"/>
  <c r="L56" s="1"/>
  <c r="N56" s="1"/>
  <c r="G55"/>
  <c r="K55" s="1"/>
  <c r="M55" s="1"/>
  <c r="H54"/>
  <c r="L54" s="1"/>
  <c r="N54" s="1"/>
  <c r="F52"/>
  <c r="G52" s="1"/>
  <c r="K52" s="1"/>
  <c r="M52" s="1"/>
  <c r="G51"/>
  <c r="K51" s="1"/>
  <c r="M51" s="1"/>
  <c r="H50"/>
  <c r="L50" s="1"/>
  <c r="N50" s="1"/>
  <c r="G48"/>
  <c r="K48" s="1"/>
  <c r="M48" s="1"/>
  <c r="H48"/>
  <c r="L48" s="1"/>
  <c r="N48" s="1"/>
  <c r="G47"/>
  <c r="K47" s="1"/>
  <c r="M47" s="1"/>
  <c r="H46"/>
  <c r="L46" s="1"/>
  <c r="N46" s="1"/>
  <c r="G44"/>
  <c r="K44" s="1"/>
  <c r="M44" s="1"/>
  <c r="H44"/>
  <c r="L44" s="1"/>
  <c r="N44" s="1"/>
  <c r="G43"/>
  <c r="K43" s="1"/>
  <c r="M43" s="1"/>
  <c r="H42"/>
  <c r="L42" s="1"/>
  <c r="N42" s="1"/>
  <c r="G40"/>
  <c r="K40" s="1"/>
  <c r="M40" s="1"/>
  <c r="H40"/>
  <c r="L40" s="1"/>
  <c r="N40" s="1"/>
  <c r="G39"/>
  <c r="K39" s="1"/>
  <c r="M39" s="1"/>
  <c r="G38"/>
  <c r="H38"/>
  <c r="G32"/>
  <c r="H32"/>
  <c r="G31"/>
  <c r="G28"/>
  <c r="H28"/>
  <c r="G27"/>
  <c r="H26"/>
  <c r="G24"/>
  <c r="H24"/>
  <c r="H22"/>
  <c r="G20"/>
  <c r="H20"/>
  <c r="G19"/>
  <c r="H18"/>
  <c r="G16"/>
  <c r="H16"/>
  <c r="G15"/>
  <c r="H14"/>
  <c r="G80" i="25"/>
  <c r="H80"/>
  <c r="H83"/>
  <c r="H79"/>
  <c r="H81"/>
  <c r="G105"/>
  <c r="H90"/>
  <c r="H101"/>
  <c r="H106"/>
  <c r="L106" s="1"/>
  <c r="N106" s="1"/>
  <c r="G107"/>
  <c r="K107" s="1"/>
  <c r="M107" s="1"/>
  <c r="H107"/>
  <c r="L107" s="1"/>
  <c r="N107" s="1"/>
  <c r="H104"/>
  <c r="H108"/>
  <c r="L108" s="1"/>
  <c r="N108" s="1"/>
  <c r="H112"/>
  <c r="G109"/>
  <c r="K109" s="1"/>
  <c r="M109" s="1"/>
  <c r="G110"/>
  <c r="K110" s="1"/>
  <c r="M110" s="1"/>
  <c r="F102"/>
  <c r="H102" s="1"/>
  <c r="G111"/>
  <c r="K111" s="1"/>
  <c r="M111" s="1"/>
  <c r="H111"/>
  <c r="L111" s="1"/>
  <c r="N111" s="1"/>
  <c r="H92"/>
  <c r="G93"/>
  <c r="H69"/>
  <c r="G76"/>
  <c r="H71"/>
  <c r="H97"/>
  <c r="H99"/>
  <c r="H103"/>
  <c r="G100"/>
  <c r="H100"/>
  <c r="G94"/>
  <c r="G95"/>
  <c r="K112"/>
  <c r="M112" s="1"/>
  <c r="L112"/>
  <c r="N112" s="1"/>
  <c r="G96"/>
  <c r="H96"/>
  <c r="F91"/>
  <c r="H91" s="1"/>
  <c r="G84"/>
  <c r="G86"/>
  <c r="H87"/>
  <c r="G77"/>
  <c r="H77"/>
  <c r="F72"/>
  <c r="H72" s="1"/>
  <c r="G74"/>
  <c r="H73"/>
  <c r="G70"/>
  <c r="H70"/>
  <c r="G67"/>
  <c r="G66"/>
  <c r="H66"/>
  <c r="G65"/>
  <c r="G40"/>
  <c r="H59"/>
  <c r="G61"/>
  <c r="G29"/>
  <c r="G33"/>
  <c r="H60"/>
  <c r="G58"/>
  <c r="H58"/>
  <c r="G57"/>
  <c r="H56"/>
  <c r="G54"/>
  <c r="H54"/>
  <c r="G53"/>
  <c r="H52"/>
  <c r="F50"/>
  <c r="H50" s="1"/>
  <c r="G49"/>
  <c r="H48"/>
  <c r="G46"/>
  <c r="H46"/>
  <c r="G45"/>
  <c r="H44"/>
  <c r="G42"/>
  <c r="H42"/>
  <c r="G41"/>
  <c r="G38"/>
  <c r="H35"/>
  <c r="G32"/>
  <c r="H31"/>
  <c r="G28"/>
  <c r="H27"/>
  <c r="G25"/>
  <c r="H25"/>
  <c r="G24"/>
  <c r="H23"/>
  <c r="G21"/>
  <c r="H21"/>
  <c r="G20"/>
  <c r="G17"/>
  <c r="H17"/>
  <c r="G16"/>
  <c r="H15"/>
  <c r="G13"/>
  <c r="H13"/>
  <c r="G12"/>
  <c r="H12"/>
  <c r="H16" i="23"/>
  <c r="G61"/>
  <c r="F61"/>
  <c r="H61" s="1"/>
  <c r="G60"/>
  <c r="H57"/>
  <c r="G57"/>
  <c r="H58"/>
  <c r="H56"/>
  <c r="G41"/>
  <c r="H54"/>
  <c r="G51"/>
  <c r="H43"/>
  <c r="G17"/>
  <c r="H27"/>
  <c r="G53"/>
  <c r="G55"/>
  <c r="H45"/>
  <c r="H39"/>
  <c r="H47"/>
  <c r="F40"/>
  <c r="H40" s="1"/>
  <c r="F48"/>
  <c r="G48" s="1"/>
  <c r="H44"/>
  <c r="G44"/>
  <c r="H52"/>
  <c r="G52"/>
  <c r="H25"/>
  <c r="G28"/>
  <c r="H24"/>
  <c r="F26"/>
  <c r="G26" s="1"/>
  <c r="H20"/>
  <c r="G19"/>
  <c r="G21"/>
  <c r="G13"/>
  <c r="F22"/>
  <c r="H22" s="1"/>
  <c r="H29"/>
  <c r="H15"/>
  <c r="F14"/>
  <c r="G14" s="1"/>
  <c r="H23"/>
  <c r="H18"/>
  <c r="G18"/>
  <c r="H12"/>
  <c r="H51" i="22"/>
  <c r="G21"/>
  <c r="G45"/>
  <c r="H45"/>
  <c r="G57"/>
  <c r="H56"/>
  <c r="G41"/>
  <c r="H41"/>
  <c r="G49"/>
  <c r="G52"/>
  <c r="H52"/>
  <c r="G50"/>
  <c r="G38"/>
  <c r="H38"/>
  <c r="G47"/>
  <c r="H44"/>
  <c r="G42"/>
  <c r="H42"/>
  <c r="G40"/>
  <c r="H39"/>
  <c r="G12"/>
  <c r="G22"/>
  <c r="H19"/>
  <c r="G26"/>
  <c r="H26"/>
  <c r="H32"/>
  <c r="H34"/>
  <c r="G33"/>
  <c r="H33"/>
  <c r="H28"/>
  <c r="G25"/>
  <c r="G16"/>
  <c r="H16"/>
  <c r="G24"/>
  <c r="H29"/>
  <c r="G15"/>
  <c r="H15"/>
  <c r="G18"/>
  <c r="G35"/>
  <c r="H35"/>
  <c r="V38" i="21"/>
  <c r="W38" s="1"/>
  <c r="H12"/>
  <c r="G32" i="20"/>
  <c r="G29"/>
  <c r="G28"/>
  <c r="H25"/>
  <c r="V38"/>
  <c r="W38" s="1"/>
  <c r="H21"/>
  <c r="G18"/>
  <c r="H17"/>
  <c r="G13"/>
  <c r="G12"/>
  <c r="G49" i="17"/>
  <c r="H49"/>
  <c r="F59"/>
  <c r="H59" s="1"/>
  <c r="H61"/>
  <c r="H39"/>
  <c r="G45"/>
  <c r="H45"/>
  <c r="G44"/>
  <c r="H44"/>
  <c r="G54"/>
  <c r="G57"/>
  <c r="H47"/>
  <c r="G43"/>
  <c r="H43"/>
  <c r="G26"/>
  <c r="G23"/>
  <c r="G22"/>
  <c r="H13"/>
  <c r="G15"/>
  <c r="G16"/>
  <c r="H16"/>
  <c r="G14"/>
  <c r="G17"/>
  <c r="H17"/>
  <c r="F32"/>
  <c r="H32" s="1"/>
  <c r="G33"/>
  <c r="H34"/>
  <c r="G19"/>
  <c r="G35"/>
  <c r="G60" i="16"/>
  <c r="K60" s="1"/>
  <c r="M60" s="1"/>
  <c r="H60"/>
  <c r="L60" s="1"/>
  <c r="N60" s="1"/>
  <c r="G52"/>
  <c r="K52" s="1"/>
  <c r="M52" s="1"/>
  <c r="H52"/>
  <c r="L52" s="1"/>
  <c r="N52" s="1"/>
  <c r="G48"/>
  <c r="K48" s="1"/>
  <c r="M48" s="1"/>
  <c r="H48"/>
  <c r="L48" s="1"/>
  <c r="N48" s="1"/>
  <c r="H47"/>
  <c r="L47" s="1"/>
  <c r="N47" s="1"/>
  <c r="F44"/>
  <c r="H44" s="1"/>
  <c r="L44" s="1"/>
  <c r="N44" s="1"/>
  <c r="H41"/>
  <c r="L41" s="1"/>
  <c r="N41" s="1"/>
  <c r="G40"/>
  <c r="K40" s="1"/>
  <c r="M40" s="1"/>
  <c r="H40"/>
  <c r="L40" s="1"/>
  <c r="N40" s="1"/>
  <c r="L38"/>
  <c r="N38" s="1"/>
  <c r="K38"/>
  <c r="M38" s="1"/>
  <c r="G35"/>
  <c r="H35"/>
  <c r="G33"/>
  <c r="H32"/>
  <c r="G31"/>
  <c r="H31"/>
  <c r="H29"/>
  <c r="G28"/>
  <c r="H27"/>
  <c r="F27"/>
  <c r="G27" s="1"/>
  <c r="I12" s="1"/>
  <c r="G25"/>
  <c r="H21"/>
  <c r="G20"/>
  <c r="G19"/>
  <c r="H19"/>
  <c r="H17"/>
  <c r="H16"/>
  <c r="G15"/>
  <c r="H15"/>
  <c r="G14"/>
  <c r="H13"/>
  <c r="G43" i="18"/>
  <c r="H43"/>
  <c r="H52"/>
  <c r="G44"/>
  <c r="G56"/>
  <c r="H56"/>
  <c r="H47"/>
  <c r="G45"/>
  <c r="H45"/>
  <c r="H58"/>
  <c r="H41"/>
  <c r="F41"/>
  <c r="G41" s="1"/>
  <c r="H48"/>
  <c r="G51"/>
  <c r="H51"/>
  <c r="H59"/>
  <c r="F59"/>
  <c r="G59" s="1"/>
  <c r="G19"/>
  <c r="H19"/>
  <c r="G12"/>
  <c r="F13"/>
  <c r="H13" s="1"/>
  <c r="G23"/>
  <c r="G20"/>
  <c r="H20"/>
  <c r="G17"/>
  <c r="H16"/>
  <c r="G60" i="19"/>
  <c r="K60" s="1"/>
  <c r="M60" s="1"/>
  <c r="H60"/>
  <c r="L60" s="1"/>
  <c r="N60" s="1"/>
  <c r="H58"/>
  <c r="L58" s="1"/>
  <c r="N58" s="1"/>
  <c r="G56"/>
  <c r="K56" s="1"/>
  <c r="M56" s="1"/>
  <c r="H56"/>
  <c r="L56" s="1"/>
  <c r="N56" s="1"/>
  <c r="G55"/>
  <c r="K55" s="1"/>
  <c r="M55" s="1"/>
  <c r="G52"/>
  <c r="K52" s="1"/>
  <c r="M52" s="1"/>
  <c r="H52"/>
  <c r="L52" s="1"/>
  <c r="N52" s="1"/>
  <c r="G48"/>
  <c r="K48" s="1"/>
  <c r="M48" s="1"/>
  <c r="H48"/>
  <c r="L48" s="1"/>
  <c r="N48" s="1"/>
  <c r="G44"/>
  <c r="K44" s="1"/>
  <c r="M44" s="1"/>
  <c r="H44"/>
  <c r="L44" s="1"/>
  <c r="N44" s="1"/>
  <c r="H42"/>
  <c r="L42" s="1"/>
  <c r="N42" s="1"/>
  <c r="G40"/>
  <c r="K40" s="1"/>
  <c r="M40" s="1"/>
  <c r="H40"/>
  <c r="L40" s="1"/>
  <c r="N40" s="1"/>
  <c r="H35"/>
  <c r="G35"/>
  <c r="G27"/>
  <c r="H27"/>
  <c r="H25"/>
  <c r="G23"/>
  <c r="H23"/>
  <c r="G21"/>
  <c r="H20"/>
  <c r="G19"/>
  <c r="H19"/>
  <c r="H16"/>
  <c r="G15"/>
  <c r="H15"/>
  <c r="H12"/>
  <c r="F12"/>
  <c r="G12" s="1"/>
  <c r="G15" i="18"/>
  <c r="H15"/>
  <c r="H32"/>
  <c r="G31"/>
  <c r="H31"/>
  <c r="G28"/>
  <c r="H28"/>
  <c r="H34"/>
  <c r="G51" i="17"/>
  <c r="H51"/>
  <c r="F59" i="13"/>
  <c r="G59" s="1"/>
  <c r="E61"/>
  <c r="F61" s="1"/>
  <c r="F60"/>
  <c r="G60" s="1"/>
  <c r="E58"/>
  <c r="F57"/>
  <c r="G57" s="1"/>
  <c r="E48"/>
  <c r="F56"/>
  <c r="H56" s="1"/>
  <c r="F40"/>
  <c r="F21"/>
  <c r="G21" s="1"/>
  <c r="F25"/>
  <c r="H25" s="1"/>
  <c r="F29"/>
  <c r="G29" s="1"/>
  <c r="F13"/>
  <c r="H13" s="1"/>
  <c r="F33"/>
  <c r="H33" s="1"/>
  <c r="F17"/>
  <c r="G17" s="1"/>
  <c r="F32"/>
  <c r="G32" s="1"/>
  <c r="F28"/>
  <c r="G28" s="1"/>
  <c r="F24"/>
  <c r="G24" s="1"/>
  <c r="F20"/>
  <c r="G20" s="1"/>
  <c r="F16"/>
  <c r="H16" s="1"/>
  <c r="E35"/>
  <c r="F35" s="1"/>
  <c r="F34"/>
  <c r="G34" s="1"/>
  <c r="E31"/>
  <c r="F31" s="1"/>
  <c r="F30"/>
  <c r="G30" s="1"/>
  <c r="E27"/>
  <c r="F26"/>
  <c r="G26" s="1"/>
  <c r="E23"/>
  <c r="F22"/>
  <c r="G22" s="1"/>
  <c r="E19"/>
  <c r="F18"/>
  <c r="G18" s="1"/>
  <c r="E15"/>
  <c r="F14"/>
  <c r="G14" s="1"/>
  <c r="F12"/>
  <c r="G12" s="1"/>
  <c r="F50"/>
  <c r="G50" s="1"/>
  <c r="F47"/>
  <c r="H47" s="1"/>
  <c r="F38"/>
  <c r="G38" s="1"/>
  <c r="H40"/>
  <c r="F51"/>
  <c r="H51" s="1"/>
  <c r="F55"/>
  <c r="G55" s="1"/>
  <c r="F39"/>
  <c r="G39" s="1"/>
  <c r="G43"/>
  <c r="F43"/>
  <c r="H43" s="1"/>
  <c r="E54"/>
  <c r="F54" s="1"/>
  <c r="F53"/>
  <c r="G53" s="1"/>
  <c r="G52"/>
  <c r="F49"/>
  <c r="G49" s="1"/>
  <c r="E46"/>
  <c r="F45"/>
  <c r="H45" s="1"/>
  <c r="G44"/>
  <c r="E42"/>
  <c r="F41"/>
  <c r="G41" s="1"/>
  <c r="G40"/>
  <c r="H52"/>
  <c r="H44"/>
  <c r="AJ38" i="25" l="1"/>
  <c r="AL27"/>
  <c r="AN27" s="1"/>
  <c r="AL23"/>
  <c r="AN23" s="1"/>
  <c r="AL15"/>
  <c r="AN15" s="1"/>
  <c r="AH17"/>
  <c r="AK16"/>
  <c r="AM16" s="1"/>
  <c r="AL17"/>
  <c r="AN17" s="1"/>
  <c r="AG23"/>
  <c r="AL40"/>
  <c r="AN40" s="1"/>
  <c r="AQ38" s="1"/>
  <c r="AS38" s="1"/>
  <c r="AU38" s="1"/>
  <c r="AK12"/>
  <c r="AM12" s="1"/>
  <c r="AH48"/>
  <c r="AL48" s="1"/>
  <c r="AN48" s="1"/>
  <c r="AH29"/>
  <c r="AL29" s="1"/>
  <c r="AN29" s="1"/>
  <c r="AH12"/>
  <c r="AH33"/>
  <c r="AL33" s="1"/>
  <c r="AN33" s="1"/>
  <c r="AG40"/>
  <c r="L60" i="18"/>
  <c r="N60" s="1"/>
  <c r="L58"/>
  <c r="N58" s="1"/>
  <c r="K48"/>
  <c r="M48" s="1"/>
  <c r="L46"/>
  <c r="N46" s="1"/>
  <c r="G59" i="17"/>
  <c r="G99" i="29"/>
  <c r="G97"/>
  <c r="H90"/>
  <c r="G112"/>
  <c r="K112" s="1"/>
  <c r="M112" s="1"/>
  <c r="G106"/>
  <c r="K33" i="30"/>
  <c r="M33" s="1"/>
  <c r="K30"/>
  <c r="M30" s="1"/>
  <c r="K26"/>
  <c r="M26" s="1"/>
  <c r="K24"/>
  <c r="M24" s="1"/>
  <c r="K23"/>
  <c r="M23" s="1"/>
  <c r="K20"/>
  <c r="M20" s="1"/>
  <c r="K19"/>
  <c r="M19" s="1"/>
  <c r="H19"/>
  <c r="L13" s="1"/>
  <c r="N13" s="1"/>
  <c r="K17"/>
  <c r="M17" s="1"/>
  <c r="K13"/>
  <c r="M13" s="1"/>
  <c r="K14"/>
  <c r="M14" s="1"/>
  <c r="I12" i="29"/>
  <c r="K110" s="1"/>
  <c r="M110" s="1"/>
  <c r="K61"/>
  <c r="M61" s="1"/>
  <c r="K56"/>
  <c r="M56" s="1"/>
  <c r="K49"/>
  <c r="M49" s="1"/>
  <c r="G73"/>
  <c r="I38"/>
  <c r="J38"/>
  <c r="K33"/>
  <c r="M33" s="1"/>
  <c r="K34"/>
  <c r="M34" s="1"/>
  <c r="K31"/>
  <c r="M31" s="1"/>
  <c r="K29"/>
  <c r="M29" s="1"/>
  <c r="K30"/>
  <c r="M30" s="1"/>
  <c r="K25"/>
  <c r="M25" s="1"/>
  <c r="K22"/>
  <c r="M22" s="1"/>
  <c r="J12"/>
  <c r="L107" s="1"/>
  <c r="N107" s="1"/>
  <c r="K18"/>
  <c r="M18" s="1"/>
  <c r="K34" i="28"/>
  <c r="M34" s="1"/>
  <c r="K31"/>
  <c r="M31" s="1"/>
  <c r="K29"/>
  <c r="M29" s="1"/>
  <c r="K23"/>
  <c r="M23" s="1"/>
  <c r="K21"/>
  <c r="M21" s="1"/>
  <c r="K19"/>
  <c r="M19" s="1"/>
  <c r="K15"/>
  <c r="M15" s="1"/>
  <c r="K12"/>
  <c r="M12" s="1"/>
  <c r="H52" i="27"/>
  <c r="L52" s="1"/>
  <c r="N52" s="1"/>
  <c r="K38"/>
  <c r="M38" s="1"/>
  <c r="R38" s="1"/>
  <c r="T38" s="1"/>
  <c r="I4"/>
  <c r="L38"/>
  <c r="N38" s="1"/>
  <c r="Q38" s="1"/>
  <c r="S38" s="1"/>
  <c r="U38" s="1"/>
  <c r="K31"/>
  <c r="M31" s="1"/>
  <c r="K32"/>
  <c r="M32" s="1"/>
  <c r="K29"/>
  <c r="M29" s="1"/>
  <c r="K30"/>
  <c r="M30" s="1"/>
  <c r="K27"/>
  <c r="M27" s="1"/>
  <c r="K28"/>
  <c r="M28" s="1"/>
  <c r="K25"/>
  <c r="M25" s="1"/>
  <c r="K26"/>
  <c r="M26" s="1"/>
  <c r="L32"/>
  <c r="N32" s="1"/>
  <c r="K23"/>
  <c r="M23" s="1"/>
  <c r="K24"/>
  <c r="M24" s="1"/>
  <c r="K21"/>
  <c r="M21" s="1"/>
  <c r="K22"/>
  <c r="M22" s="1"/>
  <c r="K19"/>
  <c r="M19" s="1"/>
  <c r="K20"/>
  <c r="M20" s="1"/>
  <c r="K17"/>
  <c r="M17" s="1"/>
  <c r="K18"/>
  <c r="M18" s="1"/>
  <c r="K15"/>
  <c r="M15" s="1"/>
  <c r="K16"/>
  <c r="M16" s="1"/>
  <c r="K13"/>
  <c r="M13" s="1"/>
  <c r="K14"/>
  <c r="M14" s="1"/>
  <c r="K12"/>
  <c r="M12" s="1"/>
  <c r="P12" s="1"/>
  <c r="G102" i="25"/>
  <c r="G72"/>
  <c r="G91"/>
  <c r="K108"/>
  <c r="M108" s="1"/>
  <c r="K70"/>
  <c r="M70" s="1"/>
  <c r="G50"/>
  <c r="J38"/>
  <c r="L102"/>
  <c r="N102" s="1"/>
  <c r="H48" i="23"/>
  <c r="G22"/>
  <c r="G40"/>
  <c r="H14"/>
  <c r="H26"/>
  <c r="I38"/>
  <c r="J38"/>
  <c r="K51" i="22"/>
  <c r="M51" s="1"/>
  <c r="J12"/>
  <c r="L59" s="1"/>
  <c r="N59" s="1"/>
  <c r="K32" i="21"/>
  <c r="M32" s="1"/>
  <c r="K27"/>
  <c r="M27" s="1"/>
  <c r="K25"/>
  <c r="M25" s="1"/>
  <c r="K21"/>
  <c r="M21" s="1"/>
  <c r="K17"/>
  <c r="M17" s="1"/>
  <c r="K15"/>
  <c r="M15" s="1"/>
  <c r="K13"/>
  <c r="M13" s="1"/>
  <c r="L33" i="20"/>
  <c r="N33" s="1"/>
  <c r="L34"/>
  <c r="N34" s="1"/>
  <c r="K33"/>
  <c r="M33" s="1"/>
  <c r="K34"/>
  <c r="M34" s="1"/>
  <c r="L31"/>
  <c r="N31" s="1"/>
  <c r="L32"/>
  <c r="N32" s="1"/>
  <c r="K31"/>
  <c r="M31" s="1"/>
  <c r="K32"/>
  <c r="M32" s="1"/>
  <c r="K29"/>
  <c r="M29" s="1"/>
  <c r="K30"/>
  <c r="M30" s="1"/>
  <c r="L29"/>
  <c r="N29" s="1"/>
  <c r="L30"/>
  <c r="N30" s="1"/>
  <c r="K27"/>
  <c r="M27" s="1"/>
  <c r="K28"/>
  <c r="M28" s="1"/>
  <c r="L27"/>
  <c r="N27" s="1"/>
  <c r="L28"/>
  <c r="N28" s="1"/>
  <c r="L25"/>
  <c r="N25" s="1"/>
  <c r="L26"/>
  <c r="N26" s="1"/>
  <c r="K25"/>
  <c r="M25" s="1"/>
  <c r="K26"/>
  <c r="M26" s="1"/>
  <c r="K23"/>
  <c r="M23" s="1"/>
  <c r="K24"/>
  <c r="M24" s="1"/>
  <c r="L23"/>
  <c r="N23" s="1"/>
  <c r="L24"/>
  <c r="N24" s="1"/>
  <c r="K21"/>
  <c r="M21" s="1"/>
  <c r="K22"/>
  <c r="M22" s="1"/>
  <c r="L21"/>
  <c r="N21" s="1"/>
  <c r="L22"/>
  <c r="N22" s="1"/>
  <c r="K19"/>
  <c r="M19" s="1"/>
  <c r="K20"/>
  <c r="M20" s="1"/>
  <c r="L19"/>
  <c r="N19" s="1"/>
  <c r="L20"/>
  <c r="N20" s="1"/>
  <c r="K17"/>
  <c r="M17" s="1"/>
  <c r="K18"/>
  <c r="M18" s="1"/>
  <c r="L17"/>
  <c r="N17" s="1"/>
  <c r="L18"/>
  <c r="N18" s="1"/>
  <c r="K15"/>
  <c r="M15" s="1"/>
  <c r="K16"/>
  <c r="M16" s="1"/>
  <c r="L15"/>
  <c r="N15" s="1"/>
  <c r="L16"/>
  <c r="N16" s="1"/>
  <c r="K13"/>
  <c r="M13" s="1"/>
  <c r="K14"/>
  <c r="M14" s="1"/>
  <c r="L13"/>
  <c r="N13" s="1"/>
  <c r="L14"/>
  <c r="N14" s="1"/>
  <c r="L12"/>
  <c r="N12" s="1"/>
  <c r="M12"/>
  <c r="J12" i="17"/>
  <c r="L60" s="1"/>
  <c r="N60" s="1"/>
  <c r="L18"/>
  <c r="N18" s="1"/>
  <c r="G32"/>
  <c r="I12" s="1"/>
  <c r="L14"/>
  <c r="N14" s="1"/>
  <c r="G44" i="16"/>
  <c r="J38"/>
  <c r="Q38"/>
  <c r="S38" s="1"/>
  <c r="U38" s="1"/>
  <c r="K34"/>
  <c r="M34" s="1"/>
  <c r="K35"/>
  <c r="M35" s="1"/>
  <c r="K32"/>
  <c r="M32" s="1"/>
  <c r="K33"/>
  <c r="M33" s="1"/>
  <c r="K30"/>
  <c r="M30" s="1"/>
  <c r="K31"/>
  <c r="M31" s="1"/>
  <c r="K28"/>
  <c r="M28" s="1"/>
  <c r="K29"/>
  <c r="M29" s="1"/>
  <c r="K26"/>
  <c r="M26" s="1"/>
  <c r="K27"/>
  <c r="M27" s="1"/>
  <c r="K24"/>
  <c r="M24" s="1"/>
  <c r="K25"/>
  <c r="M25" s="1"/>
  <c r="K22"/>
  <c r="M22" s="1"/>
  <c r="K23"/>
  <c r="M23" s="1"/>
  <c r="K20"/>
  <c r="M20" s="1"/>
  <c r="K21"/>
  <c r="M21" s="1"/>
  <c r="K18"/>
  <c r="M18" s="1"/>
  <c r="K19"/>
  <c r="M19" s="1"/>
  <c r="K16"/>
  <c r="M16" s="1"/>
  <c r="K17"/>
  <c r="M17" s="1"/>
  <c r="K14"/>
  <c r="M14" s="1"/>
  <c r="K15"/>
  <c r="M15" s="1"/>
  <c r="J12"/>
  <c r="K12"/>
  <c r="M12" s="1"/>
  <c r="K13"/>
  <c r="M13" s="1"/>
  <c r="K40" i="18"/>
  <c r="M40" s="1"/>
  <c r="I38"/>
  <c r="J38"/>
  <c r="G13"/>
  <c r="I12" s="1"/>
  <c r="K28"/>
  <c r="M28" s="1"/>
  <c r="K26"/>
  <c r="M26" s="1"/>
  <c r="Q38" i="19"/>
  <c r="S38" s="1"/>
  <c r="U38" s="1"/>
  <c r="P38"/>
  <c r="R38" s="1"/>
  <c r="T38" s="1"/>
  <c r="V38" s="1"/>
  <c r="W38" s="1"/>
  <c r="L35"/>
  <c r="N35" s="1"/>
  <c r="K35"/>
  <c r="M35" s="1"/>
  <c r="K22" i="18"/>
  <c r="M22" s="1"/>
  <c r="K20"/>
  <c r="M20" s="1"/>
  <c r="J12"/>
  <c r="L44" s="1"/>
  <c r="N44" s="1"/>
  <c r="K12"/>
  <c r="M12" s="1"/>
  <c r="K15"/>
  <c r="M15" s="1"/>
  <c r="K13"/>
  <c r="M13" s="1"/>
  <c r="K14"/>
  <c r="M14" s="1"/>
  <c r="J38" i="17"/>
  <c r="I38"/>
  <c r="M8" i="5" s="1"/>
  <c r="I12" i="13"/>
  <c r="F48"/>
  <c r="H48" s="1"/>
  <c r="G45"/>
  <c r="H59"/>
  <c r="H57"/>
  <c r="H61"/>
  <c r="G61"/>
  <c r="G56"/>
  <c r="H49"/>
  <c r="H60"/>
  <c r="F58"/>
  <c r="G58" s="1"/>
  <c r="G13"/>
  <c r="H39"/>
  <c r="H38"/>
  <c r="H21"/>
  <c r="H26"/>
  <c r="H34"/>
  <c r="H32"/>
  <c r="H18"/>
  <c r="H20"/>
  <c r="H31"/>
  <c r="G31"/>
  <c r="H14"/>
  <c r="H22"/>
  <c r="H30"/>
  <c r="F23"/>
  <c r="H23" s="1"/>
  <c r="H17"/>
  <c r="G33"/>
  <c r="G16"/>
  <c r="H29"/>
  <c r="F15"/>
  <c r="G15" s="1"/>
  <c r="G25"/>
  <c r="H24"/>
  <c r="H12"/>
  <c r="H28"/>
  <c r="H35"/>
  <c r="G35"/>
  <c r="F19"/>
  <c r="G19" s="1"/>
  <c r="F27"/>
  <c r="G27" s="1"/>
  <c r="H41"/>
  <c r="H53"/>
  <c r="F46"/>
  <c r="G46" s="1"/>
  <c r="H55"/>
  <c r="G51"/>
  <c r="G47"/>
  <c r="H50"/>
  <c r="G42"/>
  <c r="H54"/>
  <c r="G54"/>
  <c r="F42"/>
  <c r="H42" s="1"/>
  <c r="AK21" i="25" l="1"/>
  <c r="AM21" s="1"/>
  <c r="AK23"/>
  <c r="AM23" s="1"/>
  <c r="AP12" s="1"/>
  <c r="AR12" s="1"/>
  <c r="AT12" s="1"/>
  <c r="AJ12"/>
  <c r="AL12"/>
  <c r="AN12" s="1"/>
  <c r="AQ12" s="1"/>
  <c r="AS12" s="1"/>
  <c r="AU12" s="1"/>
  <c r="AK40"/>
  <c r="AM40" s="1"/>
  <c r="AP38" s="1"/>
  <c r="AR38" s="1"/>
  <c r="AT38" s="1"/>
  <c r="AV38" s="1"/>
  <c r="AW38" s="1"/>
  <c r="K59" i="22"/>
  <c r="M59" s="1"/>
  <c r="K35" i="18"/>
  <c r="M35" s="1"/>
  <c r="K47"/>
  <c r="M47" s="1"/>
  <c r="K51"/>
  <c r="M51" s="1"/>
  <c r="K43"/>
  <c r="M43" s="1"/>
  <c r="K59"/>
  <c r="M59" s="1"/>
  <c r="K45"/>
  <c r="M45" s="1"/>
  <c r="K58"/>
  <c r="M58" s="1"/>
  <c r="K53"/>
  <c r="M53" s="1"/>
  <c r="K61"/>
  <c r="M61" s="1"/>
  <c r="K39"/>
  <c r="M39" s="1"/>
  <c r="K55"/>
  <c r="M55" s="1"/>
  <c r="K50"/>
  <c r="M50" s="1"/>
  <c r="K41"/>
  <c r="M41" s="1"/>
  <c r="K46"/>
  <c r="M46" s="1"/>
  <c r="K42"/>
  <c r="M42" s="1"/>
  <c r="K54"/>
  <c r="M54" s="1"/>
  <c r="K49"/>
  <c r="M49" s="1"/>
  <c r="K38"/>
  <c r="M38" s="1"/>
  <c r="I4"/>
  <c r="L52"/>
  <c r="N52" s="1"/>
  <c r="K52"/>
  <c r="M52" s="1"/>
  <c r="K44"/>
  <c r="M44" s="1"/>
  <c r="L39"/>
  <c r="N39" s="1"/>
  <c r="L57"/>
  <c r="N57" s="1"/>
  <c r="L61"/>
  <c r="N61" s="1"/>
  <c r="L49"/>
  <c r="N49" s="1"/>
  <c r="L53"/>
  <c r="N53" s="1"/>
  <c r="L43"/>
  <c r="N43" s="1"/>
  <c r="L47"/>
  <c r="N47" s="1"/>
  <c r="L51"/>
  <c r="N51" s="1"/>
  <c r="L55"/>
  <c r="N55" s="1"/>
  <c r="L41"/>
  <c r="N41" s="1"/>
  <c r="L45"/>
  <c r="N45" s="1"/>
  <c r="L59"/>
  <c r="N59" s="1"/>
  <c r="L38"/>
  <c r="N38" s="1"/>
  <c r="L42"/>
  <c r="N42" s="1"/>
  <c r="K24"/>
  <c r="M24" s="1"/>
  <c r="K30"/>
  <c r="M30" s="1"/>
  <c r="K56"/>
  <c r="M56" s="1"/>
  <c r="K57"/>
  <c r="M57" s="1"/>
  <c r="L56"/>
  <c r="N56" s="1"/>
  <c r="L48"/>
  <c r="N48" s="1"/>
  <c r="K17"/>
  <c r="M17" s="1"/>
  <c r="K21"/>
  <c r="M21" s="1"/>
  <c r="K27"/>
  <c r="M27" s="1"/>
  <c r="K60"/>
  <c r="M60" s="1"/>
  <c r="L50"/>
  <c r="N50" s="1"/>
  <c r="L40"/>
  <c r="N40" s="1"/>
  <c r="L54"/>
  <c r="N54" s="1"/>
  <c r="J4" i="17"/>
  <c r="X8" i="5" s="1"/>
  <c r="N8"/>
  <c r="K8"/>
  <c r="I4" i="17"/>
  <c r="W8" i="5" s="1"/>
  <c r="K61" i="17"/>
  <c r="M61" s="1"/>
  <c r="K58"/>
  <c r="M58" s="1"/>
  <c r="K51"/>
  <c r="M51" s="1"/>
  <c r="K59"/>
  <c r="M59" s="1"/>
  <c r="K39"/>
  <c r="M39" s="1"/>
  <c r="K55"/>
  <c r="M55" s="1"/>
  <c r="K42"/>
  <c r="M42" s="1"/>
  <c r="K49"/>
  <c r="M49" s="1"/>
  <c r="K45"/>
  <c r="M45" s="1"/>
  <c r="K43"/>
  <c r="M43" s="1"/>
  <c r="K54"/>
  <c r="M54" s="1"/>
  <c r="K38"/>
  <c r="M38" s="1"/>
  <c r="K53"/>
  <c r="M53" s="1"/>
  <c r="K40"/>
  <c r="M40" s="1"/>
  <c r="K57"/>
  <c r="M57" s="1"/>
  <c r="K50"/>
  <c r="M50" s="1"/>
  <c r="K44"/>
  <c r="M44" s="1"/>
  <c r="L12"/>
  <c r="N12" s="1"/>
  <c r="L20"/>
  <c r="N20" s="1"/>
  <c r="K52"/>
  <c r="M52" s="1"/>
  <c r="L54"/>
  <c r="N54" s="1"/>
  <c r="L55"/>
  <c r="N55" s="1"/>
  <c r="K46"/>
  <c r="M46" s="1"/>
  <c r="L44"/>
  <c r="N44" s="1"/>
  <c r="L16"/>
  <c r="N16" s="1"/>
  <c r="L21"/>
  <c r="N21" s="1"/>
  <c r="L56"/>
  <c r="N56" s="1"/>
  <c r="K56"/>
  <c r="M56" s="1"/>
  <c r="K60"/>
  <c r="M60" s="1"/>
  <c r="L8" i="5"/>
  <c r="L53" i="17"/>
  <c r="N53" s="1"/>
  <c r="L38"/>
  <c r="N38" s="1"/>
  <c r="L51"/>
  <c r="N51" s="1"/>
  <c r="L49"/>
  <c r="N49" s="1"/>
  <c r="L46"/>
  <c r="N46" s="1"/>
  <c r="L50"/>
  <c r="N50" s="1"/>
  <c r="L40"/>
  <c r="N40" s="1"/>
  <c r="L57"/>
  <c r="N57" s="1"/>
  <c r="L47"/>
  <c r="N47" s="1"/>
  <c r="L58"/>
  <c r="N58" s="1"/>
  <c r="L42"/>
  <c r="N42" s="1"/>
  <c r="L61"/>
  <c r="N61" s="1"/>
  <c r="L45"/>
  <c r="N45" s="1"/>
  <c r="L59"/>
  <c r="N59" s="1"/>
  <c r="L39"/>
  <c r="N39" s="1"/>
  <c r="L52"/>
  <c r="N52" s="1"/>
  <c r="L41"/>
  <c r="N41" s="1"/>
  <c r="K41"/>
  <c r="M41" s="1"/>
  <c r="L43"/>
  <c r="N43" s="1"/>
  <c r="L15"/>
  <c r="N15" s="1"/>
  <c r="L22"/>
  <c r="N22" s="1"/>
  <c r="K47"/>
  <c r="M47" s="1"/>
  <c r="L48"/>
  <c r="N48" s="1"/>
  <c r="K48"/>
  <c r="M48" s="1"/>
  <c r="K102" i="29"/>
  <c r="M102" s="1"/>
  <c r="K111"/>
  <c r="M111" s="1"/>
  <c r="K107"/>
  <c r="M107" s="1"/>
  <c r="K105"/>
  <c r="M105" s="1"/>
  <c r="K109"/>
  <c r="M109" s="1"/>
  <c r="K104"/>
  <c r="M104" s="1"/>
  <c r="L104"/>
  <c r="N104" s="1"/>
  <c r="L106"/>
  <c r="N106" s="1"/>
  <c r="L100"/>
  <c r="N100" s="1"/>
  <c r="L110"/>
  <c r="N110" s="1"/>
  <c r="L111"/>
  <c r="N111" s="1"/>
  <c r="L109"/>
  <c r="N109" s="1"/>
  <c r="L108"/>
  <c r="N108" s="1"/>
  <c r="L105"/>
  <c r="N105" s="1"/>
  <c r="K108"/>
  <c r="M108" s="1"/>
  <c r="K106"/>
  <c r="M106" s="1"/>
  <c r="K16"/>
  <c r="M16" s="1"/>
  <c r="K19"/>
  <c r="M19" s="1"/>
  <c r="K26"/>
  <c r="M26" s="1"/>
  <c r="K53"/>
  <c r="M53" s="1"/>
  <c r="K59"/>
  <c r="M59" s="1"/>
  <c r="K13"/>
  <c r="M13" s="1"/>
  <c r="K23"/>
  <c r="M23" s="1"/>
  <c r="K78"/>
  <c r="M78" s="1"/>
  <c r="K76"/>
  <c r="M76" s="1"/>
  <c r="K44"/>
  <c r="M44" s="1"/>
  <c r="K14"/>
  <c r="M14" s="1"/>
  <c r="K17"/>
  <c r="M17" s="1"/>
  <c r="K21"/>
  <c r="M21" s="1"/>
  <c r="K27"/>
  <c r="M27" s="1"/>
  <c r="K66"/>
  <c r="M66" s="1"/>
  <c r="K83"/>
  <c r="M83" s="1"/>
  <c r="K52"/>
  <c r="M52" s="1"/>
  <c r="K77"/>
  <c r="M77" s="1"/>
  <c r="K50"/>
  <c r="M50" s="1"/>
  <c r="K12"/>
  <c r="M12" s="1"/>
  <c r="K15"/>
  <c r="M15" s="1"/>
  <c r="K20"/>
  <c r="M20" s="1"/>
  <c r="K24"/>
  <c r="M24" s="1"/>
  <c r="K28"/>
  <c r="M28" s="1"/>
  <c r="K32"/>
  <c r="M32" s="1"/>
  <c r="K71"/>
  <c r="M71" s="1"/>
  <c r="K72"/>
  <c r="M72" s="1"/>
  <c r="K68"/>
  <c r="M68" s="1"/>
  <c r="K45"/>
  <c r="M45" s="1"/>
  <c r="K82"/>
  <c r="M82" s="1"/>
  <c r="K75"/>
  <c r="M75" s="1"/>
  <c r="L97"/>
  <c r="N97" s="1"/>
  <c r="L101"/>
  <c r="N101" s="1"/>
  <c r="L82"/>
  <c r="N82" s="1"/>
  <c r="L99"/>
  <c r="N99" s="1"/>
  <c r="L93"/>
  <c r="N93" s="1"/>
  <c r="L95"/>
  <c r="N95" s="1"/>
  <c r="L90"/>
  <c r="N90" s="1"/>
  <c r="L102"/>
  <c r="N102" s="1"/>
  <c r="L103"/>
  <c r="N103" s="1"/>
  <c r="L91"/>
  <c r="N91" s="1"/>
  <c r="K40"/>
  <c r="M40" s="1"/>
  <c r="K69"/>
  <c r="M69" s="1"/>
  <c r="K46"/>
  <c r="M46" s="1"/>
  <c r="K96"/>
  <c r="M96" s="1"/>
  <c r="L96"/>
  <c r="N96" s="1"/>
  <c r="K35"/>
  <c r="M35" s="1"/>
  <c r="K98"/>
  <c r="M98" s="1"/>
  <c r="K97"/>
  <c r="M97" s="1"/>
  <c r="K94"/>
  <c r="M94" s="1"/>
  <c r="K91"/>
  <c r="M91" s="1"/>
  <c r="K99"/>
  <c r="M99" s="1"/>
  <c r="K95"/>
  <c r="M95" s="1"/>
  <c r="K90"/>
  <c r="M90" s="1"/>
  <c r="K101"/>
  <c r="M101" s="1"/>
  <c r="K103"/>
  <c r="M103" s="1"/>
  <c r="L92"/>
  <c r="N92" s="1"/>
  <c r="L98"/>
  <c r="N98" s="1"/>
  <c r="L94"/>
  <c r="N94" s="1"/>
  <c r="K73"/>
  <c r="M73" s="1"/>
  <c r="K74"/>
  <c r="M74" s="1"/>
  <c r="K48"/>
  <c r="M48" s="1"/>
  <c r="K65"/>
  <c r="M65" s="1"/>
  <c r="K70"/>
  <c r="M70" s="1"/>
  <c r="K86"/>
  <c r="M86" s="1"/>
  <c r="K92"/>
  <c r="M92" s="1"/>
  <c r="K93"/>
  <c r="M93" s="1"/>
  <c r="K100"/>
  <c r="M100" s="1"/>
  <c r="K12" i="30"/>
  <c r="M12" s="1"/>
  <c r="K21"/>
  <c r="M21" s="1"/>
  <c r="K25"/>
  <c r="M25" s="1"/>
  <c r="K28"/>
  <c r="M28" s="1"/>
  <c r="K34"/>
  <c r="M34" s="1"/>
  <c r="K15"/>
  <c r="M15" s="1"/>
  <c r="K16"/>
  <c r="M16" s="1"/>
  <c r="K18"/>
  <c r="M18" s="1"/>
  <c r="K22"/>
  <c r="M22" s="1"/>
  <c r="K29"/>
  <c r="M29" s="1"/>
  <c r="K32"/>
  <c r="M32" s="1"/>
  <c r="K27"/>
  <c r="M27" s="1"/>
  <c r="K31"/>
  <c r="M31" s="1"/>
  <c r="L33"/>
  <c r="N33" s="1"/>
  <c r="L34"/>
  <c r="N34" s="1"/>
  <c r="L31"/>
  <c r="N31" s="1"/>
  <c r="L32"/>
  <c r="N32" s="1"/>
  <c r="L29"/>
  <c r="N29" s="1"/>
  <c r="L30"/>
  <c r="N30" s="1"/>
  <c r="L27"/>
  <c r="N27" s="1"/>
  <c r="L28"/>
  <c r="N28" s="1"/>
  <c r="L25"/>
  <c r="N25" s="1"/>
  <c r="L26"/>
  <c r="N26" s="1"/>
  <c r="L23"/>
  <c r="N23" s="1"/>
  <c r="L24"/>
  <c r="N24" s="1"/>
  <c r="L21"/>
  <c r="N21" s="1"/>
  <c r="L22"/>
  <c r="N22" s="1"/>
  <c r="L17"/>
  <c r="N17" s="1"/>
  <c r="L20"/>
  <c r="N20" s="1"/>
  <c r="L14"/>
  <c r="N14" s="1"/>
  <c r="L16"/>
  <c r="N16" s="1"/>
  <c r="L15"/>
  <c r="N15" s="1"/>
  <c r="L18"/>
  <c r="N18" s="1"/>
  <c r="L19"/>
  <c r="N19" s="1"/>
  <c r="L12"/>
  <c r="N12" s="1"/>
  <c r="K41" i="29"/>
  <c r="M41" s="1"/>
  <c r="K87"/>
  <c r="M87" s="1"/>
  <c r="K84"/>
  <c r="M84" s="1"/>
  <c r="K43"/>
  <c r="M43" s="1"/>
  <c r="K38"/>
  <c r="M38" s="1"/>
  <c r="K42"/>
  <c r="M42" s="1"/>
  <c r="K47"/>
  <c r="M47" s="1"/>
  <c r="K67"/>
  <c r="M67" s="1"/>
  <c r="K79"/>
  <c r="M79" s="1"/>
  <c r="K81"/>
  <c r="M81" s="1"/>
  <c r="K57"/>
  <c r="M57" s="1"/>
  <c r="K51"/>
  <c r="M51" s="1"/>
  <c r="K54"/>
  <c r="M54" s="1"/>
  <c r="K60"/>
  <c r="M60" s="1"/>
  <c r="K80"/>
  <c r="M80" s="1"/>
  <c r="K64"/>
  <c r="M64" s="1"/>
  <c r="K55"/>
  <c r="M55" s="1"/>
  <c r="K39"/>
  <c r="M39" s="1"/>
  <c r="K58"/>
  <c r="M58" s="1"/>
  <c r="K85"/>
  <c r="M85" s="1"/>
  <c r="L70"/>
  <c r="N70" s="1"/>
  <c r="L51"/>
  <c r="N51" s="1"/>
  <c r="L72"/>
  <c r="N72" s="1"/>
  <c r="L53"/>
  <c r="N53" s="1"/>
  <c r="L65"/>
  <c r="N65" s="1"/>
  <c r="L49"/>
  <c r="N49" s="1"/>
  <c r="L71"/>
  <c r="N71" s="1"/>
  <c r="L45"/>
  <c r="N45" s="1"/>
  <c r="L81"/>
  <c r="N81" s="1"/>
  <c r="L41"/>
  <c r="N41" s="1"/>
  <c r="L61"/>
  <c r="N61" s="1"/>
  <c r="L47"/>
  <c r="N47" s="1"/>
  <c r="L87"/>
  <c r="N87" s="1"/>
  <c r="L73"/>
  <c r="N73" s="1"/>
  <c r="L85"/>
  <c r="N85" s="1"/>
  <c r="L59"/>
  <c r="N59" s="1"/>
  <c r="L64"/>
  <c r="N64" s="1"/>
  <c r="L38"/>
  <c r="N38" s="1"/>
  <c r="L79"/>
  <c r="N79" s="1"/>
  <c r="L43"/>
  <c r="N43" s="1"/>
  <c r="L39"/>
  <c r="N39" s="1"/>
  <c r="L55"/>
  <c r="N55" s="1"/>
  <c r="L80"/>
  <c r="N80" s="1"/>
  <c r="L76"/>
  <c r="N76" s="1"/>
  <c r="L50"/>
  <c r="N50" s="1"/>
  <c r="L74"/>
  <c r="N74" s="1"/>
  <c r="L56"/>
  <c r="N56" s="1"/>
  <c r="L40"/>
  <c r="N40" s="1"/>
  <c r="L83"/>
  <c r="N83" s="1"/>
  <c r="L66"/>
  <c r="N66" s="1"/>
  <c r="L54"/>
  <c r="N54" s="1"/>
  <c r="L77"/>
  <c r="N77" s="1"/>
  <c r="L57"/>
  <c r="N57" s="1"/>
  <c r="L68"/>
  <c r="N68" s="1"/>
  <c r="L44"/>
  <c r="N44" s="1"/>
  <c r="L58"/>
  <c r="N58" s="1"/>
  <c r="L42"/>
  <c r="N42" s="1"/>
  <c r="L84"/>
  <c r="N84" s="1"/>
  <c r="L75"/>
  <c r="N75" s="1"/>
  <c r="L78"/>
  <c r="N78" s="1"/>
  <c r="L48"/>
  <c r="N48" s="1"/>
  <c r="L69"/>
  <c r="N69" s="1"/>
  <c r="L60"/>
  <c r="N60" s="1"/>
  <c r="L46"/>
  <c r="N46" s="1"/>
  <c r="L67"/>
  <c r="N67" s="1"/>
  <c r="L86"/>
  <c r="N86" s="1"/>
  <c r="L52"/>
  <c r="N52" s="1"/>
  <c r="L34"/>
  <c r="N34" s="1"/>
  <c r="L35"/>
  <c r="N35" s="1"/>
  <c r="L32"/>
  <c r="N32" s="1"/>
  <c r="L33"/>
  <c r="N33" s="1"/>
  <c r="L30"/>
  <c r="N30" s="1"/>
  <c r="L31"/>
  <c r="N31" s="1"/>
  <c r="L14"/>
  <c r="N14" s="1"/>
  <c r="L28"/>
  <c r="N28" s="1"/>
  <c r="L29"/>
  <c r="N29" s="1"/>
  <c r="L26"/>
  <c r="N26" s="1"/>
  <c r="L27"/>
  <c r="N27" s="1"/>
  <c r="L24"/>
  <c r="N24" s="1"/>
  <c r="L25"/>
  <c r="N25" s="1"/>
  <c r="L22"/>
  <c r="N22" s="1"/>
  <c r="L23"/>
  <c r="N23" s="1"/>
  <c r="L16"/>
  <c r="N16" s="1"/>
  <c r="L21"/>
  <c r="N21" s="1"/>
  <c r="L19"/>
  <c r="N19" s="1"/>
  <c r="L20"/>
  <c r="N20" s="1"/>
  <c r="L17"/>
  <c r="N17" s="1"/>
  <c r="L12"/>
  <c r="N12" s="1"/>
  <c r="L18"/>
  <c r="N18" s="1"/>
  <c r="L13"/>
  <c r="N13" s="1"/>
  <c r="L15"/>
  <c r="N15" s="1"/>
  <c r="K17" i="28"/>
  <c r="M17" s="1"/>
  <c r="K24"/>
  <c r="M24" s="1"/>
  <c r="K16"/>
  <c r="M16" s="1"/>
  <c r="K20"/>
  <c r="M20" s="1"/>
  <c r="K27"/>
  <c r="M27" s="1"/>
  <c r="K33"/>
  <c r="M33" s="1"/>
  <c r="K13"/>
  <c r="M13" s="1"/>
  <c r="K14"/>
  <c r="M14" s="1"/>
  <c r="K18"/>
  <c r="M18" s="1"/>
  <c r="K25"/>
  <c r="M25" s="1"/>
  <c r="K28"/>
  <c r="M28" s="1"/>
  <c r="K32"/>
  <c r="M32" s="1"/>
  <c r="K22"/>
  <c r="M22" s="1"/>
  <c r="K26"/>
  <c r="M26" s="1"/>
  <c r="K30"/>
  <c r="M30" s="1"/>
  <c r="L33"/>
  <c r="N33" s="1"/>
  <c r="L34"/>
  <c r="N34" s="1"/>
  <c r="L31"/>
  <c r="N31" s="1"/>
  <c r="L32"/>
  <c r="N32" s="1"/>
  <c r="L29"/>
  <c r="N29" s="1"/>
  <c r="L30"/>
  <c r="N30" s="1"/>
  <c r="L27"/>
  <c r="N27" s="1"/>
  <c r="L28"/>
  <c r="N28" s="1"/>
  <c r="L25"/>
  <c r="N25" s="1"/>
  <c r="L26"/>
  <c r="N26" s="1"/>
  <c r="L23"/>
  <c r="N23" s="1"/>
  <c r="L24"/>
  <c r="N24" s="1"/>
  <c r="L21"/>
  <c r="N21" s="1"/>
  <c r="L22"/>
  <c r="N22" s="1"/>
  <c r="L19"/>
  <c r="N19" s="1"/>
  <c r="L20"/>
  <c r="N20" s="1"/>
  <c r="L17"/>
  <c r="N17" s="1"/>
  <c r="L18"/>
  <c r="N18" s="1"/>
  <c r="L12"/>
  <c r="N12" s="1"/>
  <c r="L16"/>
  <c r="N16" s="1"/>
  <c r="L14"/>
  <c r="N14" s="1"/>
  <c r="L15"/>
  <c r="N15" s="1"/>
  <c r="L13"/>
  <c r="N13" s="1"/>
  <c r="J4" i="27"/>
  <c r="V38"/>
  <c r="W38" s="1"/>
  <c r="L12"/>
  <c r="N12" s="1"/>
  <c r="L18"/>
  <c r="N18" s="1"/>
  <c r="L31"/>
  <c r="N31" s="1"/>
  <c r="L29"/>
  <c r="N29" s="1"/>
  <c r="L30"/>
  <c r="N30" s="1"/>
  <c r="L16"/>
  <c r="N16" s="1"/>
  <c r="L22"/>
  <c r="N22" s="1"/>
  <c r="L20"/>
  <c r="N20" s="1"/>
  <c r="L28"/>
  <c r="N28" s="1"/>
  <c r="L26"/>
  <c r="N26" s="1"/>
  <c r="L27"/>
  <c r="N27" s="1"/>
  <c r="L13"/>
  <c r="N13" s="1"/>
  <c r="L21"/>
  <c r="N21" s="1"/>
  <c r="L17"/>
  <c r="N17" s="1"/>
  <c r="L19"/>
  <c r="N19" s="1"/>
  <c r="L23"/>
  <c r="N23" s="1"/>
  <c r="L14"/>
  <c r="N14" s="1"/>
  <c r="L15"/>
  <c r="N15" s="1"/>
  <c r="L24"/>
  <c r="N24" s="1"/>
  <c r="L25"/>
  <c r="N25" s="1"/>
  <c r="R12"/>
  <c r="T12" s="1"/>
  <c r="K16" i="25"/>
  <c r="M16" s="1"/>
  <c r="K12"/>
  <c r="M12" s="1"/>
  <c r="K25"/>
  <c r="M25" s="1"/>
  <c r="K22"/>
  <c r="M22" s="1"/>
  <c r="L68"/>
  <c r="N68" s="1"/>
  <c r="K20"/>
  <c r="M20" s="1"/>
  <c r="K32"/>
  <c r="M32" s="1"/>
  <c r="K13"/>
  <c r="M13" s="1"/>
  <c r="K26"/>
  <c r="M26" s="1"/>
  <c r="K18"/>
  <c r="M18" s="1"/>
  <c r="K21"/>
  <c r="M21" s="1"/>
  <c r="K28"/>
  <c r="M28" s="1"/>
  <c r="K34"/>
  <c r="M34" s="1"/>
  <c r="K50"/>
  <c r="M50" s="1"/>
  <c r="K46"/>
  <c r="M46" s="1"/>
  <c r="L82"/>
  <c r="N82" s="1"/>
  <c r="L86"/>
  <c r="N86" s="1"/>
  <c r="K69"/>
  <c r="M69" s="1"/>
  <c r="K77"/>
  <c r="M77" s="1"/>
  <c r="K85"/>
  <c r="M85" s="1"/>
  <c r="K91"/>
  <c r="M91" s="1"/>
  <c r="K97"/>
  <c r="M97" s="1"/>
  <c r="K73"/>
  <c r="M73" s="1"/>
  <c r="K81"/>
  <c r="M81" s="1"/>
  <c r="K100"/>
  <c r="M100" s="1"/>
  <c r="K29"/>
  <c r="M29" s="1"/>
  <c r="K38"/>
  <c r="M38" s="1"/>
  <c r="K53"/>
  <c r="M53" s="1"/>
  <c r="K74"/>
  <c r="M74" s="1"/>
  <c r="K82"/>
  <c r="M82" s="1"/>
  <c r="K93"/>
  <c r="M93" s="1"/>
  <c r="K76"/>
  <c r="M76" s="1"/>
  <c r="K14"/>
  <c r="M14" s="1"/>
  <c r="K17"/>
  <c r="M17" s="1"/>
  <c r="K24"/>
  <c r="M24" s="1"/>
  <c r="K30"/>
  <c r="M30" s="1"/>
  <c r="K33"/>
  <c r="M33" s="1"/>
  <c r="K57"/>
  <c r="M57" s="1"/>
  <c r="K58"/>
  <c r="M58" s="1"/>
  <c r="K66"/>
  <c r="M66" s="1"/>
  <c r="K96"/>
  <c r="M96" s="1"/>
  <c r="K65"/>
  <c r="M65" s="1"/>
  <c r="K42"/>
  <c r="M42" s="1"/>
  <c r="K79"/>
  <c r="M79" s="1"/>
  <c r="K75"/>
  <c r="M75" s="1"/>
  <c r="K83"/>
  <c r="M83" s="1"/>
  <c r="K99"/>
  <c r="M99" s="1"/>
  <c r="K87"/>
  <c r="M87" s="1"/>
  <c r="K103"/>
  <c r="M103" s="1"/>
  <c r="K64"/>
  <c r="M64" s="1"/>
  <c r="K105"/>
  <c r="M105" s="1"/>
  <c r="K90"/>
  <c r="M90" s="1"/>
  <c r="K67"/>
  <c r="M67" s="1"/>
  <c r="K98"/>
  <c r="M98" s="1"/>
  <c r="K101"/>
  <c r="M101" s="1"/>
  <c r="K72"/>
  <c r="M72" s="1"/>
  <c r="K86"/>
  <c r="M86" s="1"/>
  <c r="K102"/>
  <c r="M102" s="1"/>
  <c r="K95"/>
  <c r="M95" s="1"/>
  <c r="K71"/>
  <c r="M71" s="1"/>
  <c r="K68"/>
  <c r="M68" s="1"/>
  <c r="K84"/>
  <c r="M84" s="1"/>
  <c r="K80"/>
  <c r="M80" s="1"/>
  <c r="K94"/>
  <c r="M94" s="1"/>
  <c r="K54"/>
  <c r="M54" s="1"/>
  <c r="L71"/>
  <c r="N71" s="1"/>
  <c r="L78"/>
  <c r="N78" s="1"/>
  <c r="L101"/>
  <c r="N101" s="1"/>
  <c r="L98"/>
  <c r="N98" s="1"/>
  <c r="K78"/>
  <c r="M78" s="1"/>
  <c r="L104"/>
  <c r="N104" s="1"/>
  <c r="K104"/>
  <c r="M104" s="1"/>
  <c r="L66"/>
  <c r="N66" s="1"/>
  <c r="L70"/>
  <c r="N70" s="1"/>
  <c r="L58"/>
  <c r="N58" s="1"/>
  <c r="L96"/>
  <c r="N96" s="1"/>
  <c r="L80"/>
  <c r="N80" s="1"/>
  <c r="L42"/>
  <c r="N42" s="1"/>
  <c r="L67"/>
  <c r="N67" s="1"/>
  <c r="L77"/>
  <c r="N77" s="1"/>
  <c r="L99"/>
  <c r="N99" s="1"/>
  <c r="L73"/>
  <c r="N73" s="1"/>
  <c r="L75"/>
  <c r="N75" s="1"/>
  <c r="L84"/>
  <c r="N84" s="1"/>
  <c r="L65"/>
  <c r="N65" s="1"/>
  <c r="L64"/>
  <c r="N64" s="1"/>
  <c r="L79"/>
  <c r="N79" s="1"/>
  <c r="L97"/>
  <c r="N97" s="1"/>
  <c r="L85"/>
  <c r="N85" s="1"/>
  <c r="L69"/>
  <c r="N69" s="1"/>
  <c r="L87"/>
  <c r="N87" s="1"/>
  <c r="L83"/>
  <c r="N83" s="1"/>
  <c r="L91"/>
  <c r="N91" s="1"/>
  <c r="L95"/>
  <c r="N95" s="1"/>
  <c r="L81"/>
  <c r="N81" s="1"/>
  <c r="L105"/>
  <c r="N105" s="1"/>
  <c r="L76"/>
  <c r="N76" s="1"/>
  <c r="L103"/>
  <c r="N103" s="1"/>
  <c r="L90"/>
  <c r="N90" s="1"/>
  <c r="L93"/>
  <c r="N93" s="1"/>
  <c r="L92"/>
  <c r="N92" s="1"/>
  <c r="L94"/>
  <c r="N94" s="1"/>
  <c r="L72"/>
  <c r="N72" s="1"/>
  <c r="L100"/>
  <c r="N100" s="1"/>
  <c r="L74"/>
  <c r="N74" s="1"/>
  <c r="K92"/>
  <c r="M92" s="1"/>
  <c r="K15"/>
  <c r="M15" s="1"/>
  <c r="K19"/>
  <c r="M19" s="1"/>
  <c r="K23"/>
  <c r="M23" s="1"/>
  <c r="K27"/>
  <c r="M27" s="1"/>
  <c r="K31"/>
  <c r="M31" s="1"/>
  <c r="L44"/>
  <c r="N44" s="1"/>
  <c r="K45"/>
  <c r="M45" s="1"/>
  <c r="L52"/>
  <c r="N52" s="1"/>
  <c r="K41"/>
  <c r="M41" s="1"/>
  <c r="L48"/>
  <c r="N48" s="1"/>
  <c r="L35"/>
  <c r="N35" s="1"/>
  <c r="L40"/>
  <c r="N40" s="1"/>
  <c r="L55"/>
  <c r="N55" s="1"/>
  <c r="L39"/>
  <c r="N39" s="1"/>
  <c r="L38"/>
  <c r="N38" s="1"/>
  <c r="L61"/>
  <c r="N61" s="1"/>
  <c r="L43"/>
  <c r="N43" s="1"/>
  <c r="L59"/>
  <c r="N59" s="1"/>
  <c r="L57"/>
  <c r="N57" s="1"/>
  <c r="L51"/>
  <c r="N51" s="1"/>
  <c r="L41"/>
  <c r="N41" s="1"/>
  <c r="L47"/>
  <c r="N47" s="1"/>
  <c r="L49"/>
  <c r="N49" s="1"/>
  <c r="L53"/>
  <c r="N53" s="1"/>
  <c r="L45"/>
  <c r="N45" s="1"/>
  <c r="L56"/>
  <c r="N56" s="1"/>
  <c r="K49"/>
  <c r="M49" s="1"/>
  <c r="L46"/>
  <c r="N46" s="1"/>
  <c r="K35"/>
  <c r="M35" s="1"/>
  <c r="K60"/>
  <c r="M60" s="1"/>
  <c r="K47"/>
  <c r="M47" s="1"/>
  <c r="K61"/>
  <c r="M61" s="1"/>
  <c r="K55"/>
  <c r="M55" s="1"/>
  <c r="K59"/>
  <c r="M59" s="1"/>
  <c r="K51"/>
  <c r="M51" s="1"/>
  <c r="K52"/>
  <c r="M52" s="1"/>
  <c r="K40"/>
  <c r="M40" s="1"/>
  <c r="K56"/>
  <c r="M56" s="1"/>
  <c r="K44"/>
  <c r="M44" s="1"/>
  <c r="K48"/>
  <c r="M48" s="1"/>
  <c r="K39"/>
  <c r="M39" s="1"/>
  <c r="K43"/>
  <c r="M43" s="1"/>
  <c r="L54"/>
  <c r="N54" s="1"/>
  <c r="L60"/>
  <c r="N60" s="1"/>
  <c r="L50"/>
  <c r="N50" s="1"/>
  <c r="L33"/>
  <c r="N33" s="1"/>
  <c r="L34"/>
  <c r="N34" s="1"/>
  <c r="L31"/>
  <c r="N31" s="1"/>
  <c r="L32"/>
  <c r="N32" s="1"/>
  <c r="L29"/>
  <c r="N29" s="1"/>
  <c r="L30"/>
  <c r="N30" s="1"/>
  <c r="L27"/>
  <c r="N27" s="1"/>
  <c r="L28"/>
  <c r="N28" s="1"/>
  <c r="L25"/>
  <c r="N25" s="1"/>
  <c r="L26"/>
  <c r="N26" s="1"/>
  <c r="L23"/>
  <c r="N23" s="1"/>
  <c r="L24"/>
  <c r="N24" s="1"/>
  <c r="L21"/>
  <c r="N21" s="1"/>
  <c r="L22"/>
  <c r="N22" s="1"/>
  <c r="L19"/>
  <c r="N19" s="1"/>
  <c r="L20"/>
  <c r="N20" s="1"/>
  <c r="L17"/>
  <c r="N17" s="1"/>
  <c r="L18"/>
  <c r="N18" s="1"/>
  <c r="L15"/>
  <c r="N15" s="1"/>
  <c r="L16"/>
  <c r="N16" s="1"/>
  <c r="L13"/>
  <c r="N13" s="1"/>
  <c r="L14"/>
  <c r="N14" s="1"/>
  <c r="L12"/>
  <c r="N12" s="1"/>
  <c r="K41" i="23"/>
  <c r="M41" s="1"/>
  <c r="K45"/>
  <c r="M45" s="1"/>
  <c r="K57"/>
  <c r="M57" s="1"/>
  <c r="K39"/>
  <c r="M39" s="1"/>
  <c r="K42"/>
  <c r="M42" s="1"/>
  <c r="K47"/>
  <c r="M47" s="1"/>
  <c r="K51"/>
  <c r="M51" s="1"/>
  <c r="K53"/>
  <c r="M53" s="1"/>
  <c r="K55"/>
  <c r="M55" s="1"/>
  <c r="K58"/>
  <c r="M58" s="1"/>
  <c r="K60"/>
  <c r="M60" s="1"/>
  <c r="K44"/>
  <c r="M44" s="1"/>
  <c r="K49"/>
  <c r="M49" s="1"/>
  <c r="K50"/>
  <c r="M50" s="1"/>
  <c r="K52"/>
  <c r="M52" s="1"/>
  <c r="K54"/>
  <c r="M54" s="1"/>
  <c r="K56"/>
  <c r="M56" s="1"/>
  <c r="K59"/>
  <c r="M59" s="1"/>
  <c r="K61"/>
  <c r="M61" s="1"/>
  <c r="K40"/>
  <c r="M40" s="1"/>
  <c r="K43"/>
  <c r="M43" s="1"/>
  <c r="K46"/>
  <c r="M46" s="1"/>
  <c r="K48"/>
  <c r="M48" s="1"/>
  <c r="L21"/>
  <c r="N21" s="1"/>
  <c r="L15"/>
  <c r="N15" s="1"/>
  <c r="L17"/>
  <c r="N17" s="1"/>
  <c r="K38"/>
  <c r="M38" s="1"/>
  <c r="K28"/>
  <c r="M28" s="1"/>
  <c r="K29"/>
  <c r="M29" s="1"/>
  <c r="K26"/>
  <c r="M26" s="1"/>
  <c r="K27"/>
  <c r="M27" s="1"/>
  <c r="L26"/>
  <c r="N26" s="1"/>
  <c r="L24"/>
  <c r="N24" s="1"/>
  <c r="K14"/>
  <c r="M14" s="1"/>
  <c r="K25"/>
  <c r="M25" s="1"/>
  <c r="K23"/>
  <c r="M23" s="1"/>
  <c r="K24"/>
  <c r="M24" s="1"/>
  <c r="L22"/>
  <c r="N22" s="1"/>
  <c r="K21"/>
  <c r="M21" s="1"/>
  <c r="K22"/>
  <c r="M22" s="1"/>
  <c r="K16"/>
  <c r="M16" s="1"/>
  <c r="K19"/>
  <c r="M19" s="1"/>
  <c r="K20"/>
  <c r="M20" s="1"/>
  <c r="K18"/>
  <c r="M18" s="1"/>
  <c r="K12"/>
  <c r="M12" s="1"/>
  <c r="I4"/>
  <c r="K13"/>
  <c r="M13" s="1"/>
  <c r="K15"/>
  <c r="M15" s="1"/>
  <c r="K17"/>
  <c r="M17" s="1"/>
  <c r="K15" i="22"/>
  <c r="M15" s="1"/>
  <c r="K23"/>
  <c r="M23" s="1"/>
  <c r="K31"/>
  <c r="M31" s="1"/>
  <c r="K50"/>
  <c r="M50" s="1"/>
  <c r="K14"/>
  <c r="M14" s="1"/>
  <c r="K27"/>
  <c r="M27" s="1"/>
  <c r="K35"/>
  <c r="M35" s="1"/>
  <c r="K57"/>
  <c r="M57" s="1"/>
  <c r="K58"/>
  <c r="M58" s="1"/>
  <c r="L54"/>
  <c r="N54" s="1"/>
  <c r="L57"/>
  <c r="N57" s="1"/>
  <c r="L58"/>
  <c r="N58" s="1"/>
  <c r="K19"/>
  <c r="M19" s="1"/>
  <c r="K43"/>
  <c r="M43" s="1"/>
  <c r="K17"/>
  <c r="M17" s="1"/>
  <c r="K25"/>
  <c r="M25" s="1"/>
  <c r="K33"/>
  <c r="M33" s="1"/>
  <c r="K40"/>
  <c r="M40" s="1"/>
  <c r="K42"/>
  <c r="M42" s="1"/>
  <c r="K21"/>
  <c r="M21" s="1"/>
  <c r="K29"/>
  <c r="M29" s="1"/>
  <c r="I4"/>
  <c r="K56"/>
  <c r="M56" s="1"/>
  <c r="K54"/>
  <c r="M54" s="1"/>
  <c r="K47"/>
  <c r="M47" s="1"/>
  <c r="K48"/>
  <c r="M48" s="1"/>
  <c r="K12"/>
  <c r="M12" s="1"/>
  <c r="K16"/>
  <c r="M16" s="1"/>
  <c r="K20"/>
  <c r="M20" s="1"/>
  <c r="K24"/>
  <c r="M24" s="1"/>
  <c r="K28"/>
  <c r="M28" s="1"/>
  <c r="K32"/>
  <c r="M32" s="1"/>
  <c r="K53"/>
  <c r="M53" s="1"/>
  <c r="K49"/>
  <c r="M49" s="1"/>
  <c r="K45"/>
  <c r="M45" s="1"/>
  <c r="K39"/>
  <c r="M39" s="1"/>
  <c r="K55"/>
  <c r="M55" s="1"/>
  <c r="K13"/>
  <c r="M13" s="1"/>
  <c r="K18"/>
  <c r="M18" s="1"/>
  <c r="K22"/>
  <c r="M22" s="1"/>
  <c r="K26"/>
  <c r="M26" s="1"/>
  <c r="K30"/>
  <c r="M30" s="1"/>
  <c r="K34"/>
  <c r="M34" s="1"/>
  <c r="K38"/>
  <c r="M38" s="1"/>
  <c r="K44"/>
  <c r="M44" s="1"/>
  <c r="K46"/>
  <c r="M46" s="1"/>
  <c r="K52"/>
  <c r="M52" s="1"/>
  <c r="K41"/>
  <c r="M41" s="1"/>
  <c r="L38"/>
  <c r="N38" s="1"/>
  <c r="L56"/>
  <c r="N56" s="1"/>
  <c r="L35"/>
  <c r="N35" s="1"/>
  <c r="L50"/>
  <c r="N50" s="1"/>
  <c r="L46"/>
  <c r="N46" s="1"/>
  <c r="L53"/>
  <c r="N53" s="1"/>
  <c r="L49"/>
  <c r="N49" s="1"/>
  <c r="L51"/>
  <c r="N51" s="1"/>
  <c r="L45"/>
  <c r="N45" s="1"/>
  <c r="L47"/>
  <c r="N47" s="1"/>
  <c r="L43"/>
  <c r="N43" s="1"/>
  <c r="L39"/>
  <c r="N39" s="1"/>
  <c r="L41"/>
  <c r="N41" s="1"/>
  <c r="L55"/>
  <c r="N55" s="1"/>
  <c r="L42"/>
  <c r="N42" s="1"/>
  <c r="L48"/>
  <c r="N48" s="1"/>
  <c r="L40"/>
  <c r="N40" s="1"/>
  <c r="L44"/>
  <c r="N44" s="1"/>
  <c r="L52"/>
  <c r="N52" s="1"/>
  <c r="L33"/>
  <c r="N33" s="1"/>
  <c r="L34"/>
  <c r="N34" s="1"/>
  <c r="L31"/>
  <c r="N31" s="1"/>
  <c r="L32"/>
  <c r="N32" s="1"/>
  <c r="L29"/>
  <c r="N29" s="1"/>
  <c r="L30"/>
  <c r="N30" s="1"/>
  <c r="L27"/>
  <c r="N27" s="1"/>
  <c r="L28"/>
  <c r="N28" s="1"/>
  <c r="L25"/>
  <c r="N25" s="1"/>
  <c r="L26"/>
  <c r="N26" s="1"/>
  <c r="L23"/>
  <c r="N23" s="1"/>
  <c r="L24"/>
  <c r="N24" s="1"/>
  <c r="L21"/>
  <c r="N21" s="1"/>
  <c r="L22"/>
  <c r="N22" s="1"/>
  <c r="L19"/>
  <c r="N19" s="1"/>
  <c r="L20"/>
  <c r="N20" s="1"/>
  <c r="J4"/>
  <c r="L18"/>
  <c r="N18" s="1"/>
  <c r="L12"/>
  <c r="N12" s="1"/>
  <c r="L14"/>
  <c r="N14" s="1"/>
  <c r="L17"/>
  <c r="N17" s="1"/>
  <c r="L15"/>
  <c r="N15" s="1"/>
  <c r="L16"/>
  <c r="N16" s="1"/>
  <c r="L13"/>
  <c r="N13" s="1"/>
  <c r="K20" i="21"/>
  <c r="M20" s="1"/>
  <c r="K28"/>
  <c r="M28" s="1"/>
  <c r="K12"/>
  <c r="M12" s="1"/>
  <c r="K19"/>
  <c r="M19" s="1"/>
  <c r="K24"/>
  <c r="M24" s="1"/>
  <c r="K31"/>
  <c r="M31" s="1"/>
  <c r="M16"/>
  <c r="K14"/>
  <c r="M14" s="1"/>
  <c r="K23"/>
  <c r="M23" s="1"/>
  <c r="K29"/>
  <c r="M29" s="1"/>
  <c r="K18"/>
  <c r="M18" s="1"/>
  <c r="K22"/>
  <c r="M22" s="1"/>
  <c r="K26"/>
  <c r="M26" s="1"/>
  <c r="K30"/>
  <c r="M30" s="1"/>
  <c r="L31"/>
  <c r="N31" s="1"/>
  <c r="L32"/>
  <c r="N32" s="1"/>
  <c r="L29"/>
  <c r="N29" s="1"/>
  <c r="L30"/>
  <c r="N30" s="1"/>
  <c r="L27"/>
  <c r="N27" s="1"/>
  <c r="L28"/>
  <c r="N28" s="1"/>
  <c r="L25"/>
  <c r="N25" s="1"/>
  <c r="L26"/>
  <c r="N26" s="1"/>
  <c r="L23"/>
  <c r="N23" s="1"/>
  <c r="L24"/>
  <c r="N24" s="1"/>
  <c r="L21"/>
  <c r="N21" s="1"/>
  <c r="L22"/>
  <c r="N22" s="1"/>
  <c r="L19"/>
  <c r="N19" s="1"/>
  <c r="L20"/>
  <c r="N20" s="1"/>
  <c r="L18"/>
  <c r="N18" s="1"/>
  <c r="L14"/>
  <c r="N14" s="1"/>
  <c r="L17"/>
  <c r="N17" s="1"/>
  <c r="L12"/>
  <c r="N12" s="1"/>
  <c r="L13"/>
  <c r="N13" s="1"/>
  <c r="L15"/>
  <c r="N15" s="1"/>
  <c r="L16"/>
  <c r="N16" s="1"/>
  <c r="S12" i="20"/>
  <c r="U12" s="1"/>
  <c r="T12"/>
  <c r="L34" i="17"/>
  <c r="N34" s="1"/>
  <c r="L35"/>
  <c r="N35" s="1"/>
  <c r="K34"/>
  <c r="M34" s="1"/>
  <c r="K35"/>
  <c r="M35" s="1"/>
  <c r="L32"/>
  <c r="N32" s="1"/>
  <c r="L33"/>
  <c r="N33" s="1"/>
  <c r="K32"/>
  <c r="M32" s="1"/>
  <c r="K33"/>
  <c r="M33" s="1"/>
  <c r="L30"/>
  <c r="N30" s="1"/>
  <c r="L31"/>
  <c r="N31" s="1"/>
  <c r="L13"/>
  <c r="N13" s="1"/>
  <c r="L17"/>
  <c r="N17" s="1"/>
  <c r="L19"/>
  <c r="N19" s="1"/>
  <c r="L23"/>
  <c r="N23" s="1"/>
  <c r="K30"/>
  <c r="M30" s="1"/>
  <c r="K31"/>
  <c r="M31" s="1"/>
  <c r="K28"/>
  <c r="M28" s="1"/>
  <c r="K29"/>
  <c r="M29" s="1"/>
  <c r="L28"/>
  <c r="N28" s="1"/>
  <c r="L29"/>
  <c r="N29" s="1"/>
  <c r="K26"/>
  <c r="M26" s="1"/>
  <c r="K27"/>
  <c r="M27" s="1"/>
  <c r="L26"/>
  <c r="N26" s="1"/>
  <c r="L27"/>
  <c r="N27" s="1"/>
  <c r="L24"/>
  <c r="N24" s="1"/>
  <c r="L25"/>
  <c r="N25" s="1"/>
  <c r="K24"/>
  <c r="M24" s="1"/>
  <c r="K25"/>
  <c r="M25" s="1"/>
  <c r="K22"/>
  <c r="M22" s="1"/>
  <c r="K23"/>
  <c r="M23" s="1"/>
  <c r="K20"/>
  <c r="M20" s="1"/>
  <c r="K21"/>
  <c r="M21" s="1"/>
  <c r="K12"/>
  <c r="M12" s="1"/>
  <c r="K17"/>
  <c r="M17" s="1"/>
  <c r="K15"/>
  <c r="M15" s="1"/>
  <c r="K18"/>
  <c r="M18" s="1"/>
  <c r="K19"/>
  <c r="M19" s="1"/>
  <c r="K13"/>
  <c r="M13" s="1"/>
  <c r="K14"/>
  <c r="M14" s="1"/>
  <c r="K16"/>
  <c r="M16" s="1"/>
  <c r="K44" i="16"/>
  <c r="M44" s="1"/>
  <c r="P38" s="1"/>
  <c r="R38" s="1"/>
  <c r="T38" s="1"/>
  <c r="V38" s="1"/>
  <c r="W38" s="1"/>
  <c r="I38"/>
  <c r="I4" s="1"/>
  <c r="L34"/>
  <c r="N34" s="1"/>
  <c r="L35"/>
  <c r="N35" s="1"/>
  <c r="P12"/>
  <c r="R12" s="1"/>
  <c r="T12" s="1"/>
  <c r="L32"/>
  <c r="N32" s="1"/>
  <c r="L33"/>
  <c r="N33" s="1"/>
  <c r="L30"/>
  <c r="N30" s="1"/>
  <c r="L31"/>
  <c r="N31" s="1"/>
  <c r="L28"/>
  <c r="N28" s="1"/>
  <c r="L29"/>
  <c r="N29" s="1"/>
  <c r="L26"/>
  <c r="N26" s="1"/>
  <c r="L27"/>
  <c r="N27" s="1"/>
  <c r="L24"/>
  <c r="N24" s="1"/>
  <c r="L25"/>
  <c r="N25" s="1"/>
  <c r="L22"/>
  <c r="N22" s="1"/>
  <c r="L23"/>
  <c r="N23" s="1"/>
  <c r="L20"/>
  <c r="N20" s="1"/>
  <c r="L21"/>
  <c r="N21" s="1"/>
  <c r="L18"/>
  <c r="N18" s="1"/>
  <c r="L19"/>
  <c r="N19" s="1"/>
  <c r="L16"/>
  <c r="N16" s="1"/>
  <c r="L17"/>
  <c r="N17" s="1"/>
  <c r="J4"/>
  <c r="L14"/>
  <c r="N14" s="1"/>
  <c r="L15"/>
  <c r="N15" s="1"/>
  <c r="L12"/>
  <c r="N12" s="1"/>
  <c r="L13"/>
  <c r="N13" s="1"/>
  <c r="L34" i="18"/>
  <c r="N34" s="1"/>
  <c r="L35"/>
  <c r="N35" s="1"/>
  <c r="K33"/>
  <c r="M33" s="1"/>
  <c r="K34"/>
  <c r="M34" s="1"/>
  <c r="L32"/>
  <c r="N32" s="1"/>
  <c r="L33"/>
  <c r="N33" s="1"/>
  <c r="K31"/>
  <c r="M31" s="1"/>
  <c r="K32"/>
  <c r="M32" s="1"/>
  <c r="K16"/>
  <c r="M16" s="1"/>
  <c r="K18"/>
  <c r="M18" s="1"/>
  <c r="K19"/>
  <c r="M19" s="1"/>
  <c r="K23"/>
  <c r="M23" s="1"/>
  <c r="K25"/>
  <c r="M25" s="1"/>
  <c r="K29"/>
  <c r="M29" s="1"/>
  <c r="L30"/>
  <c r="N30" s="1"/>
  <c r="L31"/>
  <c r="N31" s="1"/>
  <c r="L28"/>
  <c r="N28" s="1"/>
  <c r="L29"/>
  <c r="N29" s="1"/>
  <c r="L12"/>
  <c r="N12" s="1"/>
  <c r="L27"/>
  <c r="N27" s="1"/>
  <c r="L17"/>
  <c r="N17" s="1"/>
  <c r="L26"/>
  <c r="N26" s="1"/>
  <c r="L33" i="19"/>
  <c r="N33" s="1"/>
  <c r="L34"/>
  <c r="N34" s="1"/>
  <c r="K33"/>
  <c r="M33" s="1"/>
  <c r="K34"/>
  <c r="M34" s="1"/>
  <c r="L31"/>
  <c r="N31" s="1"/>
  <c r="L32"/>
  <c r="N32" s="1"/>
  <c r="K31"/>
  <c r="M31" s="1"/>
  <c r="K32"/>
  <c r="M32" s="1"/>
  <c r="K29"/>
  <c r="M29" s="1"/>
  <c r="K30"/>
  <c r="M30" s="1"/>
  <c r="L29"/>
  <c r="N29" s="1"/>
  <c r="L30"/>
  <c r="N30" s="1"/>
  <c r="L27"/>
  <c r="N27" s="1"/>
  <c r="L28"/>
  <c r="N28" s="1"/>
  <c r="K27"/>
  <c r="M27" s="1"/>
  <c r="K28"/>
  <c r="M28" s="1"/>
  <c r="L25"/>
  <c r="N25" s="1"/>
  <c r="L26"/>
  <c r="N26" s="1"/>
  <c r="K25"/>
  <c r="M25" s="1"/>
  <c r="K26"/>
  <c r="M26" s="1"/>
  <c r="L14"/>
  <c r="N14" s="1"/>
  <c r="K23"/>
  <c r="M23" s="1"/>
  <c r="K24"/>
  <c r="M24" s="1"/>
  <c r="L23"/>
  <c r="N23" s="1"/>
  <c r="L24"/>
  <c r="N24" s="1"/>
  <c r="K21"/>
  <c r="M21" s="1"/>
  <c r="K22"/>
  <c r="M22" s="1"/>
  <c r="L21"/>
  <c r="N21" s="1"/>
  <c r="L22"/>
  <c r="N22" s="1"/>
  <c r="K16"/>
  <c r="M16" s="1"/>
  <c r="K17"/>
  <c r="M17" s="1"/>
  <c r="K12"/>
  <c r="M12" s="1"/>
  <c r="K18"/>
  <c r="M18" s="1"/>
  <c r="K15"/>
  <c r="M15" s="1"/>
  <c r="L19"/>
  <c r="N19" s="1"/>
  <c r="L20"/>
  <c r="N20" s="1"/>
  <c r="K19"/>
  <c r="M19" s="1"/>
  <c r="K20"/>
  <c r="M20" s="1"/>
  <c r="L12"/>
  <c r="N12" s="1"/>
  <c r="K13"/>
  <c r="M13" s="1"/>
  <c r="L15"/>
  <c r="N15" s="1"/>
  <c r="L17"/>
  <c r="N17" s="1"/>
  <c r="J4"/>
  <c r="L13"/>
  <c r="N13" s="1"/>
  <c r="L16"/>
  <c r="N16" s="1"/>
  <c r="L18"/>
  <c r="N18" s="1"/>
  <c r="I4"/>
  <c r="K14"/>
  <c r="M14" s="1"/>
  <c r="L14" i="18"/>
  <c r="N14" s="1"/>
  <c r="L24"/>
  <c r="N24" s="1"/>
  <c r="L25"/>
  <c r="N25" s="1"/>
  <c r="L22"/>
  <c r="N22" s="1"/>
  <c r="L23"/>
  <c r="N23" s="1"/>
  <c r="L20"/>
  <c r="N20" s="1"/>
  <c r="L21"/>
  <c r="N21" s="1"/>
  <c r="L13"/>
  <c r="N13" s="1"/>
  <c r="L15"/>
  <c r="N15" s="1"/>
  <c r="J4"/>
  <c r="L18"/>
  <c r="N18" s="1"/>
  <c r="L16"/>
  <c r="N16" s="1"/>
  <c r="L19"/>
  <c r="N19" s="1"/>
  <c r="G48" i="13"/>
  <c r="I38" s="1"/>
  <c r="H58"/>
  <c r="H15"/>
  <c r="H19"/>
  <c r="G23"/>
  <c r="K58" s="1"/>
  <c r="M58" s="1"/>
  <c r="H27"/>
  <c r="H46"/>
  <c r="AV12" i="25" l="1"/>
  <c r="AW12" s="1"/>
  <c r="Q38" i="18"/>
  <c r="S38" s="1"/>
  <c r="U38" s="1"/>
  <c r="P38"/>
  <c r="R38" s="1"/>
  <c r="T38" s="1"/>
  <c r="P12"/>
  <c r="R12" s="1"/>
  <c r="T12" s="1"/>
  <c r="Q38" i="17"/>
  <c r="S38" s="1"/>
  <c r="U38" s="1"/>
  <c r="Q12"/>
  <c r="S12" s="1"/>
  <c r="U12" s="1"/>
  <c r="P38"/>
  <c r="R38" s="1"/>
  <c r="T38" s="1"/>
  <c r="P90" i="29"/>
  <c r="R90" s="1"/>
  <c r="T90" s="1"/>
  <c r="P12"/>
  <c r="R12" s="1"/>
  <c r="T12" s="1"/>
  <c r="Q90"/>
  <c r="S90" s="1"/>
  <c r="U90" s="1"/>
  <c r="P12" i="30"/>
  <c r="R12" s="1"/>
  <c r="T12" s="1"/>
  <c r="Q12"/>
  <c r="S12" s="1"/>
  <c r="U12" s="1"/>
  <c r="P64" i="29"/>
  <c r="R64" s="1"/>
  <c r="T64" s="1"/>
  <c r="P38"/>
  <c r="R38" s="1"/>
  <c r="T38" s="1"/>
  <c r="Q38"/>
  <c r="S38" s="1"/>
  <c r="U38" s="1"/>
  <c r="Q64"/>
  <c r="S64" s="1"/>
  <c r="U64" s="1"/>
  <c r="Q12"/>
  <c r="S12" s="1"/>
  <c r="U12" s="1"/>
  <c r="V12" s="1"/>
  <c r="W12" s="1"/>
  <c r="P12" i="28"/>
  <c r="R12" s="1"/>
  <c r="T12" s="1"/>
  <c r="Q12"/>
  <c r="S12" s="1"/>
  <c r="U12" s="1"/>
  <c r="Q12" i="27"/>
  <c r="S12" s="1"/>
  <c r="U12" s="1"/>
  <c r="V12" s="1"/>
  <c r="W12" s="1"/>
  <c r="P12" i="25"/>
  <c r="R12" s="1"/>
  <c r="T12" s="1"/>
  <c r="P90"/>
  <c r="R90" s="1"/>
  <c r="T90" s="1"/>
  <c r="Q90"/>
  <c r="S90" s="1"/>
  <c r="U90" s="1"/>
  <c r="Q64"/>
  <c r="S64" s="1"/>
  <c r="U64" s="1"/>
  <c r="P64"/>
  <c r="R64" s="1"/>
  <c r="T64" s="1"/>
  <c r="P38"/>
  <c r="R38" s="1"/>
  <c r="T38" s="1"/>
  <c r="Q38"/>
  <c r="S38" s="1"/>
  <c r="U38" s="1"/>
  <c r="Q12"/>
  <c r="S12" s="1"/>
  <c r="U12" s="1"/>
  <c r="L28" i="23"/>
  <c r="N28" s="1"/>
  <c r="L39"/>
  <c r="N39" s="1"/>
  <c r="L42"/>
  <c r="N42" s="1"/>
  <c r="L47"/>
  <c r="N47" s="1"/>
  <c r="L51"/>
  <c r="N51" s="1"/>
  <c r="L53"/>
  <c r="N53" s="1"/>
  <c r="L55"/>
  <c r="N55" s="1"/>
  <c r="L58"/>
  <c r="N58" s="1"/>
  <c r="L60"/>
  <c r="N60" s="1"/>
  <c r="L44"/>
  <c r="N44" s="1"/>
  <c r="L49"/>
  <c r="N49" s="1"/>
  <c r="L41"/>
  <c r="N41" s="1"/>
  <c r="L46"/>
  <c r="N46" s="1"/>
  <c r="L50"/>
  <c r="N50" s="1"/>
  <c r="L52"/>
  <c r="N52" s="1"/>
  <c r="L54"/>
  <c r="N54" s="1"/>
  <c r="L56"/>
  <c r="N56" s="1"/>
  <c r="L59"/>
  <c r="N59" s="1"/>
  <c r="L61"/>
  <c r="N61" s="1"/>
  <c r="L40"/>
  <c r="N40" s="1"/>
  <c r="L43"/>
  <c r="N43" s="1"/>
  <c r="L45"/>
  <c r="N45" s="1"/>
  <c r="L48"/>
  <c r="N48" s="1"/>
  <c r="L57"/>
  <c r="N57" s="1"/>
  <c r="L25"/>
  <c r="N25" s="1"/>
  <c r="L29"/>
  <c r="N29" s="1"/>
  <c r="L18"/>
  <c r="N18" s="1"/>
  <c r="L20"/>
  <c r="N20" s="1"/>
  <c r="L14"/>
  <c r="N14" s="1"/>
  <c r="J4"/>
  <c r="L16"/>
  <c r="N16" s="1"/>
  <c r="L13"/>
  <c r="N13" s="1"/>
  <c r="L23"/>
  <c r="N23" s="1"/>
  <c r="L27"/>
  <c r="N27" s="1"/>
  <c r="L38"/>
  <c r="N38" s="1"/>
  <c r="L19"/>
  <c r="N19" s="1"/>
  <c r="L12"/>
  <c r="N12" s="1"/>
  <c r="P38"/>
  <c r="R38" s="1"/>
  <c r="T38" s="1"/>
  <c r="P12"/>
  <c r="R12" s="1"/>
  <c r="T12" s="1"/>
  <c r="P38" i="22"/>
  <c r="R38" s="1"/>
  <c r="T38" s="1"/>
  <c r="P12"/>
  <c r="R12" s="1"/>
  <c r="T12" s="1"/>
  <c r="Q38"/>
  <c r="S38" s="1"/>
  <c r="U38" s="1"/>
  <c r="Q12"/>
  <c r="S12" s="1"/>
  <c r="U12" s="1"/>
  <c r="P12" i="21"/>
  <c r="R12" s="1"/>
  <c r="T12" s="1"/>
  <c r="Q12"/>
  <c r="S12" s="1"/>
  <c r="U12" s="1"/>
  <c r="V12" s="1"/>
  <c r="W12" s="1"/>
  <c r="V12" i="20"/>
  <c r="W12" s="1"/>
  <c r="P12" i="17"/>
  <c r="R12" s="1"/>
  <c r="T12" s="1"/>
  <c r="Q12" i="16"/>
  <c r="S12" s="1"/>
  <c r="U12" s="1"/>
  <c r="V12" s="1"/>
  <c r="W12" s="1"/>
  <c r="Q12" i="18"/>
  <c r="S12" s="1"/>
  <c r="U12" s="1"/>
  <c r="V12" s="1"/>
  <c r="W12" s="1"/>
  <c r="P12" i="19"/>
  <c r="R12" s="1"/>
  <c r="T12" s="1"/>
  <c r="V12" s="1"/>
  <c r="W12" s="1"/>
  <c r="Q12"/>
  <c r="S12" s="1"/>
  <c r="U12" s="1"/>
  <c r="J12" i="13"/>
  <c r="L57" s="1"/>
  <c r="N57" s="1"/>
  <c r="L59"/>
  <c r="N59" s="1"/>
  <c r="K59"/>
  <c r="M59" s="1"/>
  <c r="K60"/>
  <c r="M60" s="1"/>
  <c r="K57"/>
  <c r="M57" s="1"/>
  <c r="L61"/>
  <c r="N61" s="1"/>
  <c r="L58"/>
  <c r="N58" s="1"/>
  <c r="L60"/>
  <c r="N60" s="1"/>
  <c r="K61"/>
  <c r="M61" s="1"/>
  <c r="L15"/>
  <c r="N15" s="1"/>
  <c r="L19"/>
  <c r="N19" s="1"/>
  <c r="L23"/>
  <c r="N23" s="1"/>
  <c r="L27"/>
  <c r="N27" s="1"/>
  <c r="L31"/>
  <c r="N31" s="1"/>
  <c r="L35"/>
  <c r="N35" s="1"/>
  <c r="L14"/>
  <c r="N14" s="1"/>
  <c r="L18"/>
  <c r="N18" s="1"/>
  <c r="L22"/>
  <c r="N22" s="1"/>
  <c r="L26"/>
  <c r="N26" s="1"/>
  <c r="L30"/>
  <c r="N30" s="1"/>
  <c r="L34"/>
  <c r="N34" s="1"/>
  <c r="L13"/>
  <c r="N13" s="1"/>
  <c r="L17"/>
  <c r="N17" s="1"/>
  <c r="L21"/>
  <c r="N21" s="1"/>
  <c r="L25"/>
  <c r="N25" s="1"/>
  <c r="L29"/>
  <c r="N29" s="1"/>
  <c r="L33"/>
  <c r="N33" s="1"/>
  <c r="N12"/>
  <c r="L16"/>
  <c r="N16" s="1"/>
  <c r="L20"/>
  <c r="N20" s="1"/>
  <c r="L24"/>
  <c r="N24" s="1"/>
  <c r="L28"/>
  <c r="N28" s="1"/>
  <c r="L32"/>
  <c r="N32" s="1"/>
  <c r="L48"/>
  <c r="N48" s="1"/>
  <c r="L47"/>
  <c r="N47" s="1"/>
  <c r="L45"/>
  <c r="N45" s="1"/>
  <c r="L51"/>
  <c r="N51" s="1"/>
  <c r="L56"/>
  <c r="N56" s="1"/>
  <c r="L39"/>
  <c r="N39" s="1"/>
  <c r="L43"/>
  <c r="N43" s="1"/>
  <c r="L52"/>
  <c r="N52" s="1"/>
  <c r="L49"/>
  <c r="N49" s="1"/>
  <c r="L44"/>
  <c r="N44" s="1"/>
  <c r="L40"/>
  <c r="N40" s="1"/>
  <c r="L38"/>
  <c r="N38" s="1"/>
  <c r="L41"/>
  <c r="N41" s="1"/>
  <c r="L53"/>
  <c r="N53" s="1"/>
  <c r="L50"/>
  <c r="N50" s="1"/>
  <c r="L54"/>
  <c r="N54" s="1"/>
  <c r="L42"/>
  <c r="N42" s="1"/>
  <c r="L55"/>
  <c r="N55" s="1"/>
  <c r="K12"/>
  <c r="M12" s="1"/>
  <c r="K16"/>
  <c r="M16" s="1"/>
  <c r="K20"/>
  <c r="M20" s="1"/>
  <c r="K24"/>
  <c r="M24" s="1"/>
  <c r="K28"/>
  <c r="M28" s="1"/>
  <c r="K32"/>
  <c r="M32" s="1"/>
  <c r="K15"/>
  <c r="M15" s="1"/>
  <c r="K19"/>
  <c r="M19" s="1"/>
  <c r="K23"/>
  <c r="M23" s="1"/>
  <c r="K27"/>
  <c r="M27" s="1"/>
  <c r="K31"/>
  <c r="M31" s="1"/>
  <c r="K35"/>
  <c r="M35" s="1"/>
  <c r="K14"/>
  <c r="M14" s="1"/>
  <c r="K18"/>
  <c r="M18" s="1"/>
  <c r="K22"/>
  <c r="M22" s="1"/>
  <c r="K26"/>
  <c r="M26" s="1"/>
  <c r="K30"/>
  <c r="M30" s="1"/>
  <c r="K34"/>
  <c r="M34" s="1"/>
  <c r="K13"/>
  <c r="M13" s="1"/>
  <c r="K17"/>
  <c r="M17" s="1"/>
  <c r="K21"/>
  <c r="M21" s="1"/>
  <c r="K25"/>
  <c r="M25" s="1"/>
  <c r="K29"/>
  <c r="M29" s="1"/>
  <c r="K33"/>
  <c r="M33" s="1"/>
  <c r="K41"/>
  <c r="M41" s="1"/>
  <c r="K40"/>
  <c r="M40" s="1"/>
  <c r="K49"/>
  <c r="M49" s="1"/>
  <c r="K43"/>
  <c r="M43" s="1"/>
  <c r="K38"/>
  <c r="M38" s="1"/>
  <c r="K45"/>
  <c r="M45" s="1"/>
  <c r="K55"/>
  <c r="M55" s="1"/>
  <c r="K50"/>
  <c r="M50" s="1"/>
  <c r="K53"/>
  <c r="M53" s="1"/>
  <c r="K52"/>
  <c r="M52" s="1"/>
  <c r="K56"/>
  <c r="M56" s="1"/>
  <c r="K39"/>
  <c r="M39" s="1"/>
  <c r="K44"/>
  <c r="M44" s="1"/>
  <c r="K48"/>
  <c r="M48" s="1"/>
  <c r="K51"/>
  <c r="M51" s="1"/>
  <c r="K47"/>
  <c r="M47" s="1"/>
  <c r="K46"/>
  <c r="M46" s="1"/>
  <c r="K54"/>
  <c r="M54" s="1"/>
  <c r="K42"/>
  <c r="M42" s="1"/>
  <c r="L46"/>
  <c r="N46" s="1"/>
  <c r="J38"/>
  <c r="V38" i="18" l="1"/>
  <c r="W38" s="1"/>
  <c r="V12" i="17"/>
  <c r="W12" s="1"/>
  <c r="V38"/>
  <c r="W38" s="1"/>
  <c r="V90" i="29"/>
  <c r="W90" s="1"/>
  <c r="V12" i="30"/>
  <c r="W12" s="1"/>
  <c r="V64" i="29"/>
  <c r="W64" s="1"/>
  <c r="V38"/>
  <c r="W38" s="1"/>
  <c r="V12" i="28"/>
  <c r="W12" s="1"/>
  <c r="V12" i="25"/>
  <c r="W12" s="1"/>
  <c r="V90"/>
  <c r="W90" s="1"/>
  <c r="V64"/>
  <c r="W64" s="1"/>
  <c r="V38"/>
  <c r="W38" s="1"/>
  <c r="Q12" i="23"/>
  <c r="S12" s="1"/>
  <c r="U12" s="1"/>
  <c r="V12" s="1"/>
  <c r="W12" s="1"/>
  <c r="Q38"/>
  <c r="S38" s="1"/>
  <c r="U38" s="1"/>
  <c r="V38" s="1"/>
  <c r="W38" s="1"/>
  <c r="V38" i="22"/>
  <c r="W38" s="1"/>
  <c r="V12"/>
  <c r="W12" s="1"/>
  <c r="Q38" i="13"/>
  <c r="S38" s="1"/>
  <c r="U38" s="1"/>
  <c r="P38"/>
  <c r="R38" s="1"/>
  <c r="T38" s="1"/>
  <c r="P12"/>
  <c r="R12" s="1"/>
  <c r="T12" s="1"/>
  <c r="V38" l="1"/>
  <c r="W38" s="1"/>
  <c r="Q12"/>
  <c r="S12" s="1"/>
  <c r="U12" s="1"/>
  <c r="V12" s="1"/>
  <c r="W12" s="1"/>
</calcChain>
</file>

<file path=xl/sharedStrings.xml><?xml version="1.0" encoding="utf-8"?>
<sst xmlns="http://schemas.openxmlformats.org/spreadsheetml/2006/main" count="1364" uniqueCount="101">
  <si>
    <t>азимут</t>
  </si>
  <si>
    <t>дальность</t>
  </si>
  <si>
    <t>номер п/п</t>
  </si>
  <si>
    <t>х</t>
  </si>
  <si>
    <t>градусы</t>
  </si>
  <si>
    <t>минуты (в сотых градуса)</t>
  </si>
  <si>
    <t>Мх</t>
  </si>
  <si>
    <t>Мz</t>
  </si>
  <si>
    <t>Хт-Мх</t>
  </si>
  <si>
    <t>Zт-Мz</t>
  </si>
  <si>
    <t>(Хт-Мх)*2</t>
  </si>
  <si>
    <t>(Zт-Мz)*2</t>
  </si>
  <si>
    <t>N-1</t>
  </si>
  <si>
    <t>Σ(Хт-Мх)*2</t>
  </si>
  <si>
    <t>Σ(Zт-Мz)*2</t>
  </si>
  <si>
    <t>(Σ(Хт-Мх)*2)/(N-1)</t>
  </si>
  <si>
    <t>(Σ(Zт-Мz)*2)/(N-1)</t>
  </si>
  <si>
    <t>Сигма X</t>
  </si>
  <si>
    <t>Сигма Z</t>
  </si>
  <si>
    <t>σX*σZ</t>
  </si>
  <si>
    <t>Число КОБЭ</t>
  </si>
  <si>
    <t>z</t>
  </si>
  <si>
    <t>СКО КОБЭ</t>
  </si>
  <si>
    <t>Центр рассеивания НАР</t>
  </si>
  <si>
    <t>Канал</t>
  </si>
  <si>
    <t>ЦУ</t>
  </si>
  <si>
    <t>Vпр</t>
  </si>
  <si>
    <t>км/ч</t>
  </si>
  <si>
    <r>
      <t>Н</t>
    </r>
    <r>
      <rPr>
        <vertAlign val="subscript"/>
        <sz val="10"/>
        <color theme="1"/>
        <rFont val="Times New Roman"/>
        <family val="1"/>
        <charset val="204"/>
      </rPr>
      <t>пус</t>
    </r>
  </si>
  <si>
    <t>м</t>
  </si>
  <si>
    <r>
      <t>Д</t>
    </r>
    <r>
      <rPr>
        <vertAlign val="subscript"/>
        <sz val="10"/>
        <color theme="1"/>
        <rFont val="Times New Roman"/>
        <family val="1"/>
        <charset val="204"/>
      </rPr>
      <t>пус</t>
    </r>
  </si>
  <si>
    <t>ЦУ ОПС</t>
  </si>
  <si>
    <t>град</t>
  </si>
  <si>
    <t>центр рассеивания КОБЭ НАР 1</t>
  </si>
  <si>
    <t>центр рассеивания КОБЭ НАР 2</t>
  </si>
  <si>
    <t>центр рассеивания НАР</t>
  </si>
  <si>
    <t>x</t>
  </si>
  <si>
    <t>№ захода</t>
  </si>
  <si>
    <t>Условия пусков</t>
  </si>
  <si>
    <t>Результаты пусков</t>
  </si>
  <si>
    <t>курс</t>
  </si>
  <si>
    <t>Найдено НАР</t>
  </si>
  <si>
    <t>240/8</t>
  </si>
  <si>
    <t>Тангаж</t>
  </si>
  <si>
    <t>КОБЭ от НАР 2</t>
  </si>
  <si>
    <t>КОБЭ от НАР 1</t>
  </si>
  <si>
    <t>НОМЕР МИШЕНИ</t>
  </si>
  <si>
    <t>НВГЦ/ЛЦУ</t>
  </si>
  <si>
    <t>Всего</t>
  </si>
  <si>
    <t>НАР 1</t>
  </si>
  <si>
    <t>НАР 2</t>
  </si>
  <si>
    <t>Азимут за вычетом боевого курса</t>
  </si>
  <si>
    <r>
      <t>Н</t>
    </r>
    <r>
      <rPr>
        <b/>
        <vertAlign val="subscript"/>
        <sz val="14"/>
        <color theme="1"/>
        <rFont val="Times New Roman"/>
        <family val="1"/>
        <charset val="204"/>
      </rPr>
      <t>пус</t>
    </r>
  </si>
  <si>
    <r>
      <t>Д</t>
    </r>
    <r>
      <rPr>
        <b/>
        <vertAlign val="subscript"/>
        <sz val="14"/>
        <color theme="1"/>
        <rFont val="Times New Roman"/>
        <family val="1"/>
        <charset val="204"/>
      </rPr>
      <t>пус</t>
    </r>
  </si>
  <si>
    <t>Номер цели и результат</t>
  </si>
  <si>
    <t xml:space="preserve">79,18
</t>
  </si>
  <si>
    <t xml:space="preserve">74,74; </t>
  </si>
  <si>
    <t>НВГЦ</t>
  </si>
  <si>
    <t>ОПС</t>
  </si>
  <si>
    <t>243-1</t>
  </si>
  <si>
    <t>243-2</t>
  </si>
  <si>
    <t>243-3</t>
  </si>
  <si>
    <t>242-4</t>
  </si>
  <si>
    <t>242-3</t>
  </si>
  <si>
    <t>242-2</t>
  </si>
  <si>
    <t>243-4</t>
  </si>
  <si>
    <t>240-6</t>
  </si>
  <si>
    <t>240-7</t>
  </si>
  <si>
    <t>240-8</t>
  </si>
  <si>
    <t>240-9</t>
  </si>
  <si>
    <t>241-1</t>
  </si>
  <si>
    <t>241-2</t>
  </si>
  <si>
    <t>241-3</t>
  </si>
  <si>
    <t>241-4</t>
  </si>
  <si>
    <t>241-5</t>
  </si>
  <si>
    <t>241-6</t>
  </si>
  <si>
    <t>241-7</t>
  </si>
  <si>
    <t>242-1</t>
  </si>
  <si>
    <t>нвгц</t>
  </si>
  <si>
    <t>КОБЭ от НАР 3</t>
  </si>
  <si>
    <t>КОБЭ от НАР 4</t>
  </si>
  <si>
    <t>НАР 3</t>
  </si>
  <si>
    <t>НАР 4</t>
  </si>
  <si>
    <r>
      <t>Н</t>
    </r>
    <r>
      <rPr>
        <vertAlign val="subscript"/>
        <sz val="12"/>
        <color theme="1"/>
        <rFont val="Times New Roman"/>
        <family val="1"/>
        <charset val="204"/>
      </rPr>
      <t>пус</t>
    </r>
  </si>
  <si>
    <r>
      <t>Д</t>
    </r>
    <r>
      <rPr>
        <vertAlign val="subscript"/>
        <sz val="12"/>
        <color theme="1"/>
        <rFont val="Times New Roman"/>
        <family val="1"/>
        <charset val="204"/>
      </rPr>
      <t>пус</t>
    </r>
  </si>
  <si>
    <t>Номер мишени</t>
  </si>
  <si>
    <t>номер круга</t>
  </si>
  <si>
    <t>ЦР НАР 1</t>
  </si>
  <si>
    <t>ЦР НАР 2</t>
  </si>
  <si>
    <t>ЦР ОБЩ</t>
  </si>
  <si>
    <t>Координаты</t>
  </si>
  <si>
    <t>КОБЭ от НАР 5</t>
  </si>
  <si>
    <t>КОБЭ от НАР 6</t>
  </si>
  <si>
    <t>НАР 5</t>
  </si>
  <si>
    <t>НАР 6</t>
  </si>
  <si>
    <t>ЦР НАР 3</t>
  </si>
  <si>
    <t>ЦР НАР 4</t>
  </si>
  <si>
    <t>ЦР НАР 5</t>
  </si>
  <si>
    <t>ЦР НАР 6</t>
  </si>
  <si>
    <t>расстояние между кругами по Х</t>
  </si>
  <si>
    <t>расстояние мжду линейками зет</t>
  </si>
</sst>
</file>

<file path=xl/styles.xml><?xml version="1.0" encoding="utf-8"?>
<styleSheet xmlns="http://schemas.openxmlformats.org/spreadsheetml/2006/main">
  <numFmts count="1">
    <numFmt numFmtId="164" formatCode="0.0"/>
  </numFmts>
  <fonts count="19">
    <font>
      <sz val="11"/>
      <color theme="1"/>
      <name val="Calibri"/>
      <family val="2"/>
      <charset val="204"/>
      <scheme val="minor"/>
    </font>
    <font>
      <sz val="36"/>
      <color theme="1"/>
      <name val="Aharoni"/>
      <charset val="177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bscript"/>
      <sz val="10"/>
      <color theme="1"/>
      <name val="Times New Roman"/>
      <family val="1"/>
      <charset val="204"/>
    </font>
    <font>
      <sz val="2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vertAlign val="subscript"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35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4" borderId="23" applyNumberFormat="0" applyFont="0" applyAlignment="0" applyProtection="0"/>
  </cellStyleXfs>
  <cellXfs count="1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3" borderId="6" xfId="0" applyFill="1" applyBorder="1"/>
    <xf numFmtId="0" fontId="0" fillId="0" borderId="3" xfId="0" applyBorder="1" applyAlignment="1">
      <alignment horizontal="center" wrapText="1"/>
    </xf>
    <xf numFmtId="0" fontId="0" fillId="2" borderId="3" xfId="0" applyFont="1" applyFill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4" borderId="23" xfId="1" applyFont="1" applyAlignment="1">
      <alignment horizontal="center" vertical="center" wrapText="1"/>
    </xf>
    <xf numFmtId="0" fontId="9" fillId="4" borderId="23" xfId="1" applyFont="1" applyAlignment="1">
      <alignment horizontal="center" vertical="top" wrapText="1"/>
    </xf>
    <xf numFmtId="0" fontId="8" fillId="4" borderId="23" xfId="1" applyFont="1"/>
    <xf numFmtId="0" fontId="1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23" xfId="1" applyFont="1" applyBorder="1"/>
    <xf numFmtId="0" fontId="0" fillId="4" borderId="24" xfId="1" applyFont="1" applyBorder="1"/>
    <xf numFmtId="0" fontId="13" fillId="4" borderId="23" xfId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4" borderId="34" xfId="1" applyFont="1" applyBorder="1"/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164" fontId="14" fillId="0" borderId="36" xfId="0" applyNumberFormat="1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" fontId="14" fillId="0" borderId="11" xfId="0" applyNumberFormat="1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 wrapText="1"/>
    </xf>
    <xf numFmtId="1" fontId="14" fillId="0" borderId="22" xfId="0" applyNumberFormat="1" applyFont="1" applyBorder="1" applyAlignment="1">
      <alignment horizontal="center" vertical="center" wrapText="1"/>
    </xf>
    <xf numFmtId="164" fontId="14" fillId="0" borderId="22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2" fontId="16" fillId="0" borderId="11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164" fontId="14" fillId="0" borderId="11" xfId="0" applyNumberFormat="1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/>
    </xf>
    <xf numFmtId="1" fontId="14" fillId="0" borderId="11" xfId="0" applyNumberFormat="1" applyFont="1" applyFill="1" applyBorder="1" applyAlignment="1">
      <alignment horizontal="center" vertical="center" wrapText="1"/>
    </xf>
    <xf numFmtId="2" fontId="14" fillId="0" borderId="11" xfId="0" applyNumberFormat="1" applyFont="1" applyFill="1" applyBorder="1" applyAlignment="1">
      <alignment horizontal="center" vertical="center" wrapText="1"/>
    </xf>
    <xf numFmtId="1" fontId="14" fillId="0" borderId="16" xfId="0" applyNumberFormat="1" applyFont="1" applyBorder="1" applyAlignment="1">
      <alignment horizontal="center" vertical="center" wrapText="1"/>
    </xf>
    <xf numFmtId="1" fontId="14" fillId="0" borderId="22" xfId="0" applyNumberFormat="1" applyFont="1" applyBorder="1" applyAlignment="1">
      <alignment horizontal="center" vertical="center" wrapText="1"/>
    </xf>
    <xf numFmtId="1" fontId="14" fillId="0" borderId="16" xfId="0" applyNumberFormat="1" applyFont="1" applyFill="1" applyBorder="1" applyAlignment="1">
      <alignment horizontal="center" vertical="center" wrapText="1"/>
    </xf>
    <xf numFmtId="1" fontId="14" fillId="0" borderId="22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4" borderId="23" xfId="1" applyFont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0" xfId="0" applyFill="1" applyBorder="1"/>
    <xf numFmtId="0" fontId="0" fillId="6" borderId="8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</cellXfs>
  <cellStyles count="2">
    <cellStyle name="Обычный" xfId="0" builtinId="0"/>
    <cellStyle name="Примечание" xfId="1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scatterChart>
        <c:scatterStyle val="lineMarker"/>
        <c:ser>
          <c:idx val="0"/>
          <c:order val="0"/>
          <c:tx>
            <c:v>243-1 НАР 1</c:v>
          </c:tx>
          <c:spPr>
            <a:ln w="28575">
              <a:noFill/>
            </a:ln>
          </c:spPr>
          <c:dPt>
            <c:idx val="0"/>
            <c:marker>
              <c:symbol val="circle"/>
              <c:size val="10"/>
            </c:marker>
          </c:dPt>
          <c:dLbls>
            <c:showSerName val="1"/>
          </c:dLbls>
          <c:xVal>
            <c:numRef>
              <c:f>Итог!$F$85</c:f>
              <c:numCache>
                <c:formatCode>General</c:formatCode>
                <c:ptCount val="1"/>
                <c:pt idx="0">
                  <c:v>-606.96539930639062</c:v>
                </c:pt>
              </c:numCache>
            </c:numRef>
          </c:xVal>
          <c:yVal>
            <c:numRef>
              <c:f>Итог!$E$85</c:f>
              <c:numCache>
                <c:formatCode>General</c:formatCode>
                <c:ptCount val="1"/>
                <c:pt idx="0">
                  <c:v>82.838851993640688</c:v>
                </c:pt>
              </c:numCache>
            </c:numRef>
          </c:yVal>
        </c:ser>
        <c:ser>
          <c:idx val="1"/>
          <c:order val="1"/>
          <c:tx>
            <c:v>243-1 НАР 2</c:v>
          </c:tx>
          <c:spPr>
            <a:ln w="28575">
              <a:noFill/>
            </a:ln>
          </c:spPr>
          <c:dLbls>
            <c:showSerName val="1"/>
          </c:dLbls>
          <c:xVal>
            <c:numRef>
              <c:f>Итог!$H$85</c:f>
              <c:numCache>
                <c:formatCode>General</c:formatCode>
                <c:ptCount val="1"/>
                <c:pt idx="0">
                  <c:v>-716.91867370054126</c:v>
                </c:pt>
              </c:numCache>
            </c:numRef>
          </c:xVal>
          <c:yVal>
            <c:numRef>
              <c:f>Итог!$G$85</c:f>
              <c:numCache>
                <c:formatCode>General</c:formatCode>
                <c:ptCount val="1"/>
                <c:pt idx="0">
                  <c:v>78.880305505723911</c:v>
                </c:pt>
              </c:numCache>
            </c:numRef>
          </c:yVal>
        </c:ser>
        <c:ser>
          <c:idx val="2"/>
          <c:order val="2"/>
          <c:tx>
            <c:v>243-2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>
              <c:idx val="0"/>
              <c:layout>
                <c:manualLayout>
                  <c:x val="-1.441672816566816E-2"/>
                  <c:y val="-1.1465797135922121E-2"/>
                </c:manualLayout>
              </c:layout>
              <c:showSerName val="1"/>
            </c:dLbl>
            <c:showSerName val="1"/>
          </c:dLbls>
          <c:xVal>
            <c:numRef>
              <c:f>Итог!$L$85</c:f>
              <c:numCache>
                <c:formatCode>General</c:formatCode>
                <c:ptCount val="1"/>
                <c:pt idx="0">
                  <c:v>-472.51527653072463</c:v>
                </c:pt>
              </c:numCache>
            </c:numRef>
          </c:xVal>
          <c:yVal>
            <c:numRef>
              <c:f>Итог!$K$85</c:f>
              <c:numCache>
                <c:formatCode>General</c:formatCode>
                <c:ptCount val="1"/>
                <c:pt idx="0">
                  <c:v>56.136428216009506</c:v>
                </c:pt>
              </c:numCache>
            </c:numRef>
          </c:yVal>
        </c:ser>
        <c:ser>
          <c:idx val="3"/>
          <c:order val="3"/>
          <c:tx>
            <c:v>243-2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Итог!$N$85</c:f>
              <c:numCache>
                <c:formatCode>General</c:formatCode>
                <c:ptCount val="1"/>
                <c:pt idx="0">
                  <c:v>-427.17738164636557</c:v>
                </c:pt>
              </c:numCache>
            </c:numRef>
          </c:xVal>
          <c:yVal>
            <c:numRef>
              <c:f>Итог!$M$85</c:f>
              <c:numCache>
                <c:formatCode>General</c:formatCode>
                <c:ptCount val="1"/>
                <c:pt idx="0">
                  <c:v>36.312577962940004</c:v>
                </c:pt>
              </c:numCache>
            </c:numRef>
          </c:yVal>
        </c:ser>
        <c:ser>
          <c:idx val="4"/>
          <c:order val="4"/>
          <c:tx>
            <c:v>243-3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>
              <c:idx val="0"/>
              <c:layout>
                <c:manualLayout>
                  <c:x val="-2.8358155553814959E-2"/>
                  <c:y val="-1.0701410660193979E-2"/>
                </c:manualLayout>
              </c:layout>
              <c:dLblPos val="r"/>
              <c:showSerName val="1"/>
            </c:dLbl>
            <c:dLblPos val="l"/>
            <c:showSerName val="1"/>
          </c:dLbls>
          <c:xVal>
            <c:numRef>
              <c:f>Итог!$Z$85</c:f>
              <c:numCache>
                <c:formatCode>General</c:formatCode>
                <c:ptCount val="1"/>
                <c:pt idx="0">
                  <c:v>-98.681341111828758</c:v>
                </c:pt>
              </c:numCache>
            </c:numRef>
          </c:xVal>
          <c:yVal>
            <c:numRef>
              <c:f>Итог!$Y$85</c:f>
              <c:numCache>
                <c:formatCode>General</c:formatCode>
                <c:ptCount val="1"/>
                <c:pt idx="0">
                  <c:v>79.181424539889463</c:v>
                </c:pt>
              </c:numCache>
            </c:numRef>
          </c:yVal>
        </c:ser>
        <c:ser>
          <c:idx val="5"/>
          <c:order val="5"/>
          <c:tx>
            <c:v>243-3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Pos val="l"/>
            <c:showSerName val="1"/>
          </c:dLbls>
          <c:xVal>
            <c:numRef>
              <c:f>Итог!$AB$85</c:f>
              <c:numCache>
                <c:formatCode>General</c:formatCode>
                <c:ptCount val="1"/>
                <c:pt idx="0">
                  <c:v>-151.84669254130861</c:v>
                </c:pt>
              </c:numCache>
            </c:numRef>
          </c:xVal>
          <c:yVal>
            <c:numRef>
              <c:f>Итог!$AA$85</c:f>
              <c:numCache>
                <c:formatCode>General</c:formatCode>
                <c:ptCount val="1"/>
                <c:pt idx="0">
                  <c:v>56.343637189560305</c:v>
                </c:pt>
              </c:numCache>
            </c:numRef>
          </c:yVal>
        </c:ser>
        <c:ser>
          <c:idx val="6"/>
          <c:order val="6"/>
          <c:tx>
            <c:v>243-4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txPr>
              <a:bodyPr/>
              <a:lstStyle/>
              <a:p>
                <a:pPr>
                  <a:defRPr sz="1200"/>
                </a:pPr>
                <a:endParaRPr lang="ru-RU"/>
              </a:p>
            </c:txPr>
            <c:showSerName val="1"/>
          </c:dLbls>
          <c:xVal>
            <c:numRef>
              <c:f>Итог!$AF$85</c:f>
              <c:numCache>
                <c:formatCode>General</c:formatCode>
                <c:ptCount val="1"/>
                <c:pt idx="0">
                  <c:v>14.803887311354053</c:v>
                </c:pt>
              </c:numCache>
            </c:numRef>
          </c:xVal>
          <c:yVal>
            <c:numRef>
              <c:f>Итог!$AE$85</c:f>
              <c:numCache>
                <c:formatCode>General</c:formatCode>
                <c:ptCount val="1"/>
                <c:pt idx="0">
                  <c:v>50.936894655211546</c:v>
                </c:pt>
              </c:numCache>
            </c:numRef>
          </c:yVal>
        </c:ser>
        <c:ser>
          <c:idx val="7"/>
          <c:order val="7"/>
          <c:tx>
            <c:v>243-4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>
              <c:idx val="0"/>
              <c:layout>
                <c:manualLayout>
                  <c:x val="-6.4074160543358969E-3"/>
                  <c:y val="7.643864757281525E-3"/>
                </c:manualLayout>
              </c:layout>
              <c:showSerName val="1"/>
            </c:dLbl>
            <c:showSerName val="1"/>
          </c:dLbls>
          <c:xVal>
            <c:numRef>
              <c:f>Итог!$AH$85</c:f>
              <c:numCache>
                <c:formatCode>General</c:formatCode>
                <c:ptCount val="1"/>
                <c:pt idx="0">
                  <c:v>-81.011521383431869</c:v>
                </c:pt>
              </c:numCache>
            </c:numRef>
          </c:xVal>
          <c:yVal>
            <c:numRef>
              <c:f>Итог!$AG$85</c:f>
              <c:numCache>
                <c:formatCode>General</c:formatCode>
                <c:ptCount val="1"/>
                <c:pt idx="0">
                  <c:v>62.62648178594015</c:v>
                </c:pt>
              </c:numCache>
            </c:numRef>
          </c:yVal>
        </c:ser>
        <c:ser>
          <c:idx val="8"/>
          <c:order val="8"/>
          <c:tx>
            <c:v>242-1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Pos val="b"/>
            <c:showSerName val="1"/>
          </c:dLbls>
          <c:xVal>
            <c:numRef>
              <c:f>Итог!$F$87</c:f>
              <c:numCache>
                <c:formatCode>General</c:formatCode>
                <c:ptCount val="1"/>
                <c:pt idx="0">
                  <c:v>-498.82348066682778</c:v>
                </c:pt>
              </c:numCache>
            </c:numRef>
          </c:xVal>
          <c:yVal>
            <c:numRef>
              <c:f>Итог!$E$87</c:f>
              <c:numCache>
                <c:formatCode>General</c:formatCode>
                <c:ptCount val="1"/>
                <c:pt idx="0">
                  <c:v>493.60988121492608</c:v>
                </c:pt>
              </c:numCache>
            </c:numRef>
          </c:yVal>
        </c:ser>
        <c:ser>
          <c:idx val="9"/>
          <c:order val="9"/>
          <c:tx>
            <c:v>242-2 НАР 1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dLblPos val="t"/>
            <c:showSerName val="1"/>
          </c:dLbls>
          <c:xVal>
            <c:numRef>
              <c:f>Итог!$L$87</c:f>
              <c:numCache>
                <c:formatCode>General</c:formatCode>
                <c:ptCount val="1"/>
                <c:pt idx="0">
                  <c:v>-444.48540041166501</c:v>
                </c:pt>
              </c:numCache>
            </c:numRef>
          </c:xVal>
          <c:yVal>
            <c:numRef>
              <c:f>Итог!$K$87</c:f>
              <c:numCache>
                <c:formatCode>General</c:formatCode>
                <c:ptCount val="1"/>
                <c:pt idx="0">
                  <c:v>535.28384287836934</c:v>
                </c:pt>
              </c:numCache>
            </c:numRef>
          </c:yVal>
        </c:ser>
        <c:ser>
          <c:idx val="10"/>
          <c:order val="10"/>
          <c:tx>
            <c:v>242-3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>
              <c:idx val="0"/>
              <c:layout>
                <c:manualLayout>
                  <c:x val="2.1488245422157733E-3"/>
                  <c:y val="-6.1150918058251302E-3"/>
                </c:manualLayout>
              </c:layout>
              <c:dLblPos val="r"/>
              <c:showSerName val="1"/>
            </c:dLbl>
            <c:dLblPos val="r"/>
            <c:showSerName val="1"/>
          </c:dLbls>
          <c:xVal>
            <c:numRef>
              <c:f>Итог!$Z$87</c:f>
              <c:numCache>
                <c:formatCode>General</c:formatCode>
                <c:ptCount val="1"/>
                <c:pt idx="0">
                  <c:v>-217.19803430812107</c:v>
                </c:pt>
              </c:numCache>
            </c:numRef>
          </c:xVal>
          <c:yVal>
            <c:numRef>
              <c:f>Итог!$Y$87</c:f>
              <c:numCache>
                <c:formatCode>General</c:formatCode>
                <c:ptCount val="1"/>
                <c:pt idx="0">
                  <c:v>531.62397857182145</c:v>
                </c:pt>
              </c:numCache>
            </c:numRef>
          </c:yVal>
        </c:ser>
        <c:ser>
          <c:idx val="11"/>
          <c:order val="11"/>
          <c:tx>
            <c:v>242-3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Pos val="t"/>
            <c:showSerName val="1"/>
          </c:dLbls>
          <c:xVal>
            <c:numRef>
              <c:f>Итог!$AB$87</c:f>
              <c:numCache>
                <c:formatCode>General</c:formatCode>
                <c:ptCount val="1"/>
                <c:pt idx="0">
                  <c:v>-242.43549010477003</c:v>
                </c:pt>
              </c:numCache>
            </c:numRef>
          </c:xVal>
          <c:yVal>
            <c:numRef>
              <c:f>Итог!$AA$87</c:f>
              <c:numCache>
                <c:formatCode>General</c:formatCode>
                <c:ptCount val="1"/>
                <c:pt idx="0">
                  <c:v>555.25948514354877</c:v>
                </c:pt>
              </c:numCache>
            </c:numRef>
          </c:yVal>
        </c:ser>
        <c:ser>
          <c:idx val="12"/>
          <c:order val="12"/>
          <c:tx>
            <c:v>241-1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Итог!$F$89</c:f>
              <c:numCache>
                <c:formatCode>General</c:formatCode>
                <c:ptCount val="1"/>
                <c:pt idx="0">
                  <c:v>-627.00494597115198</c:v>
                </c:pt>
              </c:numCache>
            </c:numRef>
          </c:xVal>
          <c:yVal>
            <c:numRef>
              <c:f>Итог!$E$89</c:f>
              <c:numCache>
                <c:formatCode>General</c:formatCode>
                <c:ptCount val="1"/>
                <c:pt idx="0">
                  <c:v>1077.7688607191487</c:v>
                </c:pt>
              </c:numCache>
            </c:numRef>
          </c:yVal>
        </c:ser>
        <c:ser>
          <c:idx val="13"/>
          <c:order val="13"/>
          <c:tx>
            <c:v>241-1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Итог!$H$89</c:f>
              <c:numCache>
                <c:formatCode>General</c:formatCode>
                <c:ptCount val="1"/>
                <c:pt idx="0">
                  <c:v>-576.60723623002366</c:v>
                </c:pt>
              </c:numCache>
            </c:numRef>
          </c:xVal>
          <c:yVal>
            <c:numRef>
              <c:f>Итог!$G$89</c:f>
              <c:numCache>
                <c:formatCode>General</c:formatCode>
                <c:ptCount val="1"/>
                <c:pt idx="0">
                  <c:v>1117.2412694689081</c:v>
                </c:pt>
              </c:numCache>
            </c:numRef>
          </c:yVal>
        </c:ser>
        <c:ser>
          <c:idx val="14"/>
          <c:order val="14"/>
          <c:tx>
            <c:v>241-2 НАР1</c:v>
          </c:tx>
          <c:spPr>
            <a:ln w="28575">
              <a:noFill/>
            </a:ln>
          </c:spPr>
          <c:dLbls>
            <c:showSerName val="1"/>
          </c:dLbls>
          <c:xVal>
            <c:numRef>
              <c:f>Итог!$L$89</c:f>
              <c:numCache>
                <c:formatCode>General</c:formatCode>
                <c:ptCount val="1"/>
                <c:pt idx="0">
                  <c:v>-421.53286806695974</c:v>
                </c:pt>
              </c:numCache>
            </c:numRef>
          </c:xVal>
          <c:yVal>
            <c:numRef>
              <c:f>Итог!$K$89</c:f>
              <c:numCache>
                <c:formatCode>General</c:formatCode>
                <c:ptCount val="1"/>
                <c:pt idx="0">
                  <c:v>1170.7830258256072</c:v>
                </c:pt>
              </c:numCache>
            </c:numRef>
          </c:yVal>
        </c:ser>
        <c:ser>
          <c:idx val="15"/>
          <c:order val="15"/>
          <c:tx>
            <c:v>241-2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Итог!$N$89</c:f>
              <c:numCache>
                <c:formatCode>General</c:formatCode>
                <c:ptCount val="1"/>
                <c:pt idx="0">
                  <c:v>-376.27745301791981</c:v>
                </c:pt>
              </c:numCache>
            </c:numRef>
          </c:xVal>
          <c:yVal>
            <c:numRef>
              <c:f>Итог!$M$89</c:f>
              <c:numCache>
                <c:formatCode>General</c:formatCode>
                <c:ptCount val="1"/>
                <c:pt idx="0">
                  <c:v>1106.5421766242557</c:v>
                </c:pt>
              </c:numCache>
            </c:numRef>
          </c:yVal>
        </c:ser>
        <c:ser>
          <c:idx val="16"/>
          <c:order val="16"/>
          <c:tx>
            <c:v>241-2 НАР 3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>
              <c:idx val="0"/>
              <c:layout>
                <c:manualLayout>
                  <c:x val="-1.7916758163642969E-2"/>
                  <c:y val="7.7222294180213603E-3"/>
                </c:manualLayout>
              </c:layout>
              <c:dLblPos val="r"/>
              <c:showSerName val="1"/>
            </c:dLbl>
            <c:dLblPos val="b"/>
            <c:showSerName val="1"/>
          </c:dLbls>
          <c:xVal>
            <c:numRef>
              <c:f>Итог!$P$89</c:f>
              <c:numCache>
                <c:formatCode>General</c:formatCode>
                <c:ptCount val="1"/>
                <c:pt idx="0">
                  <c:v>-374.40086224191896</c:v>
                </c:pt>
              </c:numCache>
            </c:numRef>
          </c:xVal>
          <c:yVal>
            <c:numRef>
              <c:f>Итог!$O$89</c:f>
              <c:numCache>
                <c:formatCode>General</c:formatCode>
                <c:ptCount val="1"/>
                <c:pt idx="0">
                  <c:v>1058.1328354090094</c:v>
                </c:pt>
              </c:numCache>
            </c:numRef>
          </c:yVal>
        </c:ser>
        <c:ser>
          <c:idx val="17"/>
          <c:order val="17"/>
          <c:tx>
            <c:v>241-3 НАР 4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Итог!$R$89</c:f>
              <c:numCache>
                <c:formatCode>General</c:formatCode>
                <c:ptCount val="1"/>
                <c:pt idx="0">
                  <c:v>-308.52371419738705</c:v>
                </c:pt>
              </c:numCache>
            </c:numRef>
          </c:xVal>
          <c:yVal>
            <c:numRef>
              <c:f>Итог!$Q$89</c:f>
              <c:numCache>
                <c:formatCode>General</c:formatCode>
                <c:ptCount val="1"/>
                <c:pt idx="0">
                  <c:v>1056.4525766997479</c:v>
                </c:pt>
              </c:numCache>
            </c:numRef>
          </c:yVal>
        </c:ser>
        <c:ser>
          <c:idx val="18"/>
          <c:order val="18"/>
          <c:tx>
            <c:v>241-2 НАР 5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Итог!$T$89</c:f>
              <c:numCache>
                <c:formatCode>General</c:formatCode>
                <c:ptCount val="1"/>
                <c:pt idx="0">
                  <c:v>-520.81213479025985</c:v>
                </c:pt>
              </c:numCache>
            </c:numRef>
          </c:xVal>
          <c:yVal>
            <c:numRef>
              <c:f>Итог!$S$89</c:f>
              <c:numCache>
                <c:formatCode>General</c:formatCode>
                <c:ptCount val="1"/>
                <c:pt idx="0">
                  <c:v>1036.7722054089556</c:v>
                </c:pt>
              </c:numCache>
            </c:numRef>
          </c:yVal>
        </c:ser>
        <c:ser>
          <c:idx val="19"/>
          <c:order val="19"/>
          <c:tx>
            <c:v>241-2 НАР6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Итог!$V$89</c:f>
              <c:numCache>
                <c:formatCode>General</c:formatCode>
                <c:ptCount val="1"/>
                <c:pt idx="0">
                  <c:v>-517.80354302772787</c:v>
                </c:pt>
              </c:numCache>
            </c:numRef>
          </c:xVal>
          <c:yVal>
            <c:numRef>
              <c:f>Итог!$U$89</c:f>
              <c:numCache>
                <c:formatCode>General</c:formatCode>
                <c:ptCount val="1"/>
                <c:pt idx="0">
                  <c:v>1082.0490957270117</c:v>
                </c:pt>
              </c:numCache>
            </c:numRef>
          </c:yVal>
        </c:ser>
        <c:ser>
          <c:idx val="20"/>
          <c:order val="20"/>
          <c:tx>
            <c:v>240-6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Итог!$AR$91</c:f>
              <c:numCache>
                <c:formatCode>General</c:formatCode>
                <c:ptCount val="1"/>
                <c:pt idx="0">
                  <c:v>388.75546768816508</c:v>
                </c:pt>
              </c:numCache>
            </c:numRef>
          </c:xVal>
          <c:yVal>
            <c:numRef>
              <c:f>Итог!$AQ$91</c:f>
              <c:numCache>
                <c:formatCode>General</c:formatCode>
                <c:ptCount val="1"/>
                <c:pt idx="0">
                  <c:v>1638.7391234773272</c:v>
                </c:pt>
              </c:numCache>
            </c:numRef>
          </c:yVal>
        </c:ser>
        <c:ser>
          <c:idx val="21"/>
          <c:order val="21"/>
          <c:tx>
            <c:v>240-7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dLblPos val="t"/>
            <c:showSerName val="1"/>
          </c:dLbls>
          <c:xVal>
            <c:numRef>
              <c:f>Итог!$AX$91</c:f>
              <c:numCache>
                <c:formatCode>General</c:formatCode>
                <c:ptCount val="1"/>
                <c:pt idx="0">
                  <c:v>619.20512594323384</c:v>
                </c:pt>
              </c:numCache>
            </c:numRef>
          </c:xVal>
          <c:yVal>
            <c:numRef>
              <c:f>Итог!$AW$91</c:f>
              <c:numCache>
                <c:formatCode>General</c:formatCode>
                <c:ptCount val="1"/>
                <c:pt idx="0">
                  <c:v>1616.1427636755695</c:v>
                </c:pt>
              </c:numCache>
            </c:numRef>
          </c:yVal>
        </c:ser>
        <c:ser>
          <c:idx val="22"/>
          <c:order val="22"/>
          <c:tx>
            <c:v>240-7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Итог!$AZ$91</c:f>
              <c:numCache>
                <c:formatCode>General</c:formatCode>
                <c:ptCount val="1"/>
                <c:pt idx="0">
                  <c:v>618.99654335577975</c:v>
                </c:pt>
              </c:numCache>
            </c:numRef>
          </c:xVal>
          <c:yVal>
            <c:numRef>
              <c:f>Итог!$AY$91</c:f>
              <c:numCache>
                <c:formatCode>General</c:formatCode>
                <c:ptCount val="1"/>
                <c:pt idx="0">
                  <c:v>1567.2874277060948</c:v>
                </c:pt>
              </c:numCache>
            </c:numRef>
          </c:yVal>
        </c:ser>
        <c:ser>
          <c:idx val="23"/>
          <c:order val="23"/>
          <c:tx>
            <c:v>240-7 НАР 3</c:v>
          </c:tx>
          <c:spPr>
            <a:ln w="28575">
              <a:noFill/>
            </a:ln>
          </c:spPr>
          <c:dLbls>
            <c:showSerName val="1"/>
          </c:dLbls>
          <c:xVal>
            <c:numRef>
              <c:f>Итог!$BB$91</c:f>
              <c:numCache>
                <c:formatCode>General</c:formatCode>
                <c:ptCount val="1"/>
                <c:pt idx="0">
                  <c:v>509.45653793944393</c:v>
                </c:pt>
              </c:numCache>
            </c:numRef>
          </c:xVal>
          <c:yVal>
            <c:numRef>
              <c:f>Итог!$BA$91</c:f>
              <c:numCache>
                <c:formatCode>General</c:formatCode>
                <c:ptCount val="1"/>
                <c:pt idx="0">
                  <c:v>1532.1113700949277</c:v>
                </c:pt>
              </c:numCache>
            </c:numRef>
          </c:yVal>
        </c:ser>
        <c:ser>
          <c:idx val="24"/>
          <c:order val="24"/>
          <c:tx>
            <c:v>240-7 НАР4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Итог!$BD$91</c:f>
              <c:numCache>
                <c:formatCode>General</c:formatCode>
                <c:ptCount val="1"/>
                <c:pt idx="0">
                  <c:v>517.66789005278861</c:v>
                </c:pt>
              </c:numCache>
            </c:numRef>
          </c:xVal>
          <c:yVal>
            <c:numRef>
              <c:f>Итог!$BC$91</c:f>
              <c:numCache>
                <c:formatCode>General</c:formatCode>
                <c:ptCount val="1"/>
                <c:pt idx="0">
                  <c:v>1612.253610408703</c:v>
                </c:pt>
              </c:numCache>
            </c:numRef>
          </c:yVal>
        </c:ser>
        <c:ser>
          <c:idx val="25"/>
          <c:order val="25"/>
          <c:tx>
            <c:v>240-8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Итог!$BH$91</c:f>
              <c:numCache>
                <c:formatCode>General</c:formatCode>
                <c:ptCount val="1"/>
                <c:pt idx="0">
                  <c:v>771.29431796515246</c:v>
                </c:pt>
              </c:numCache>
            </c:numRef>
          </c:xVal>
          <c:yVal>
            <c:numRef>
              <c:f>Итог!$BG$91</c:f>
              <c:numCache>
                <c:formatCode>General</c:formatCode>
                <c:ptCount val="1"/>
                <c:pt idx="0">
                  <c:v>1644.1353966745221</c:v>
                </c:pt>
              </c:numCache>
            </c:numRef>
          </c:yVal>
        </c:ser>
        <c:ser>
          <c:idx val="26"/>
          <c:order val="26"/>
          <c:tx>
            <c:v>240-9 НАР 1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Итог!$BN$91</c:f>
              <c:numCache>
                <c:formatCode>General</c:formatCode>
                <c:ptCount val="1"/>
                <c:pt idx="0">
                  <c:v>1003.7737729980311</c:v>
                </c:pt>
              </c:numCache>
            </c:numRef>
          </c:xVal>
          <c:yVal>
            <c:numRef>
              <c:f>Итог!$BM$91</c:f>
              <c:numCache>
                <c:formatCode>General</c:formatCode>
                <c:ptCount val="1"/>
                <c:pt idx="0">
                  <c:v>1687.2807637367134</c:v>
                </c:pt>
              </c:numCache>
            </c:numRef>
          </c:yVal>
        </c:ser>
        <c:ser>
          <c:idx val="27"/>
          <c:order val="27"/>
          <c:tx>
            <c:v>240-9 НАР 2</c:v>
          </c:tx>
          <c:spPr>
            <a:ln w="28575">
              <a:noFill/>
            </a:ln>
          </c:spPr>
          <c:marker>
            <c:symbol val="circle"/>
            <c:size val="10"/>
          </c:marker>
          <c:dLbls>
            <c:showSerName val="1"/>
          </c:dLbls>
          <c:xVal>
            <c:numRef>
              <c:f>Итог!$BP$91</c:f>
              <c:numCache>
                <c:formatCode>General</c:formatCode>
                <c:ptCount val="1"/>
                <c:pt idx="0">
                  <c:v>886.97228650260604</c:v>
                </c:pt>
              </c:numCache>
            </c:numRef>
          </c:xVal>
          <c:yVal>
            <c:numRef>
              <c:f>Итог!$BO$91</c:f>
              <c:numCache>
                <c:formatCode>General</c:formatCode>
                <c:ptCount val="1"/>
                <c:pt idx="0">
                  <c:v>1625.6064214505832</c:v>
                </c:pt>
              </c:numCache>
            </c:numRef>
          </c:yVal>
        </c:ser>
        <c:dLbls>
          <c:showVal val="1"/>
        </c:dLbls>
        <c:axId val="99005952"/>
        <c:axId val="99020800"/>
      </c:scatterChart>
      <c:valAx>
        <c:axId val="99005952"/>
        <c:scaling>
          <c:orientation val="minMax"/>
          <c:max val="1200"/>
          <c:min val="-1200"/>
        </c:scaling>
        <c:axPos val="b"/>
        <c:majorGridlines/>
        <c:minorGridlines/>
        <c:title>
          <c:layout/>
        </c:title>
        <c:numFmt formatCode="General" sourceLinked="1"/>
        <c:tickLblPos val="nextTo"/>
        <c:spPr>
          <a:ln w="34925" cmpd="sng">
            <a:solidFill>
              <a:schemeClr val="tx1">
                <a:lumMod val="95000"/>
                <a:lumOff val="5000"/>
              </a:schemeClr>
            </a:solidFill>
          </a:ln>
        </c:spPr>
        <c:txPr>
          <a:bodyPr/>
          <a:lstStyle/>
          <a:p>
            <a:pPr>
              <a:defRPr sz="1000"/>
            </a:pPr>
            <a:endParaRPr lang="ru-RU"/>
          </a:p>
        </c:txPr>
        <c:crossAx val="99020800"/>
        <c:crosses val="autoZero"/>
        <c:crossBetween val="midCat"/>
        <c:majorUnit val="100"/>
        <c:minorUnit val="25"/>
      </c:valAx>
      <c:valAx>
        <c:axId val="99020800"/>
        <c:scaling>
          <c:orientation val="minMax"/>
          <c:max val="2000"/>
          <c:min val="-400"/>
        </c:scaling>
        <c:axPos val="l"/>
        <c:majorGridlines>
          <c:spPr>
            <a:ln>
              <a:gradFill flip="none" rotWithShape="1">
                <a:gsLst>
                  <a:gs pos="0">
                    <a:srgbClr val="FBEAC7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1">
                    <a:srgbClr val="FBD49C"/>
                  </a:gs>
                  <a:gs pos="100000">
                    <a:srgbClr val="FEE7F2"/>
                  </a:gs>
                </a:gsLst>
                <a:lin ang="0" scaled="0"/>
                <a:tileRect/>
              </a:gradFill>
            </a:ln>
          </c:spPr>
        </c:majorGridlines>
        <c:minorGridlines/>
        <c:title>
          <c:layout/>
        </c:title>
        <c:numFmt formatCode="General" sourceLinked="1"/>
        <c:tickLblPos val="nextTo"/>
        <c:spPr>
          <a:gradFill>
            <a:gsLst>
              <a:gs pos="0">
                <a:srgbClr val="FBEAC7"/>
              </a:gs>
              <a:gs pos="17999">
                <a:srgbClr val="FEE7F2"/>
              </a:gs>
              <a:gs pos="36000">
                <a:srgbClr val="FAC77D"/>
              </a:gs>
              <a:gs pos="61000">
                <a:srgbClr val="FBA97D"/>
              </a:gs>
              <a:gs pos="82001">
                <a:srgbClr val="FBD49C"/>
              </a:gs>
              <a:gs pos="100000">
                <a:srgbClr val="FEE7F2"/>
              </a:gs>
            </a:gsLst>
            <a:lin ang="0" scaled="0"/>
          </a:gradFill>
          <a:ln w="44450" cmpd="sng">
            <a:solidFill>
              <a:schemeClr val="tx1">
                <a:lumMod val="95000"/>
                <a:lumOff val="5000"/>
              </a:schemeClr>
            </a:solidFill>
          </a:ln>
        </c:spPr>
        <c:txPr>
          <a:bodyPr/>
          <a:lstStyle/>
          <a:p>
            <a:pPr>
              <a:defRPr sz="1000"/>
            </a:pPr>
            <a:endParaRPr lang="ru-RU"/>
          </a:p>
        </c:txPr>
        <c:crossAx val="99005952"/>
        <c:crosses val="autoZero"/>
        <c:crossBetween val="midCat"/>
        <c:majorUnit val="100"/>
        <c:minorUnit val="25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26"/>
  <c:chart>
    <c:plotArea>
      <c:layout>
        <c:manualLayout>
          <c:layoutTarget val="inner"/>
          <c:xMode val="edge"/>
          <c:yMode val="edge"/>
          <c:x val="9.2453689523032193E-2"/>
          <c:y val="0.13990101305872144"/>
          <c:w val="0.86517624317303465"/>
          <c:h val="0.80726918715650697"/>
        </c:manualLayout>
      </c:layout>
      <c:scatterChart>
        <c:scatterStyle val="lineMarker"/>
        <c:ser>
          <c:idx val="0"/>
          <c:order val="0"/>
          <c:spPr>
            <a:ln w="666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ser>
          <c:idx val="1"/>
          <c:order val="1"/>
          <c:spPr>
            <a:ln w="66675">
              <a:noFill/>
            </a:ln>
          </c:spP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axId val="76896896"/>
        <c:axId val="76928128"/>
      </c:scatterChart>
      <c:valAx>
        <c:axId val="76896896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  <a:p>
                <a:pPr>
                  <a:defRPr/>
                </a:pPr>
                <a:endParaRPr lang="ru-RU"/>
              </a:p>
            </c:rich>
          </c:tx>
        </c:title>
        <c:numFmt formatCode="General" sourceLinked="1"/>
        <c:tickLblPos val="nextTo"/>
        <c:crossAx val="76928128"/>
        <c:crosses val="autoZero"/>
        <c:crossBetween val="midCat"/>
      </c:valAx>
      <c:valAx>
        <c:axId val="76928128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</a:t>
                </a:r>
              </a:p>
              <a:p>
                <a:pPr>
                  <a:defRPr/>
                </a:pPr>
                <a:endParaRPr lang="ru-RU"/>
              </a:p>
            </c:rich>
          </c:tx>
        </c:title>
        <c:numFmt formatCode="General" sourceLinked="1"/>
        <c:tickLblPos val="nextTo"/>
        <c:crossAx val="76896896"/>
        <c:crosses val="autoZero"/>
        <c:crossBetween val="midCat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'240-6'!$H$12:$H$34</c:f>
              <c:numCache>
                <c:formatCode>General</c:formatCode>
                <c:ptCount val="23"/>
                <c:pt idx="0">
                  <c:v>-19.512987672932059</c:v>
                </c:pt>
                <c:pt idx="1">
                  <c:v>-17.248431720876837</c:v>
                </c:pt>
                <c:pt idx="2">
                  <c:v>-6.9791019784537074</c:v>
                </c:pt>
                <c:pt idx="3">
                  <c:v>-4.8280633113565479</c:v>
                </c:pt>
                <c:pt idx="4">
                  <c:v>-6.1245312584147555</c:v>
                </c:pt>
                <c:pt idx="5">
                  <c:v>-8.5070564484210642</c:v>
                </c:pt>
                <c:pt idx="6">
                  <c:v>-9.5235721674376208</c:v>
                </c:pt>
                <c:pt idx="7">
                  <c:v>-13.822310815297101</c:v>
                </c:pt>
                <c:pt idx="8">
                  <c:v>-19.210987025353873</c:v>
                </c:pt>
                <c:pt idx="9">
                  <c:v>-5.0953265185651411</c:v>
                </c:pt>
                <c:pt idx="10">
                  <c:v>1.4253275985519025</c:v>
                </c:pt>
                <c:pt idx="11">
                  <c:v>-10.026799959720265</c:v>
                </c:pt>
                <c:pt idx="12">
                  <c:v>-14.225299406169</c:v>
                </c:pt>
                <c:pt idx="13">
                  <c:v>-23.708930538863534</c:v>
                </c:pt>
                <c:pt idx="14">
                  <c:v>-35.460500767567524</c:v>
                </c:pt>
                <c:pt idx="15">
                  <c:v>-17.154815252192307</c:v>
                </c:pt>
                <c:pt idx="16">
                  <c:v>-13.564777684622982</c:v>
                </c:pt>
                <c:pt idx="17">
                  <c:v>-2.6177862041473743</c:v>
                </c:pt>
                <c:pt idx="18">
                  <c:v>-4.6326582595701353</c:v>
                </c:pt>
                <c:pt idx="19">
                  <c:v>5.18163788030511</c:v>
                </c:pt>
                <c:pt idx="20">
                  <c:v>-11.472505775277286</c:v>
                </c:pt>
                <c:pt idx="21">
                  <c:v>-13.894084646183366</c:v>
                </c:pt>
                <c:pt idx="22">
                  <c:v>-7.620681239637543</c:v>
                </c:pt>
              </c:numCache>
            </c:numRef>
          </c:xVal>
          <c:yVal>
            <c:numRef>
              <c:f>'240-6'!$G$12:$G$34</c:f>
              <c:numCache>
                <c:formatCode>General</c:formatCode>
                <c:ptCount val="23"/>
                <c:pt idx="0">
                  <c:v>162.83501869093146</c:v>
                </c:pt>
                <c:pt idx="1">
                  <c:v>257.42278765325</c:v>
                </c:pt>
                <c:pt idx="2">
                  <c:v>159.84771545309724</c:v>
                </c:pt>
                <c:pt idx="3">
                  <c:v>165.92977371364529</c:v>
                </c:pt>
                <c:pt idx="4">
                  <c:v>155.87972965355277</c:v>
                </c:pt>
                <c:pt idx="5">
                  <c:v>153.76485291048593</c:v>
                </c:pt>
                <c:pt idx="6">
                  <c:v>155.70902855381127</c:v>
                </c:pt>
                <c:pt idx="7">
                  <c:v>155.38643352534135</c:v>
                </c:pt>
                <c:pt idx="8">
                  <c:v>142.7127814090654</c:v>
                </c:pt>
                <c:pt idx="9">
                  <c:v>145.91106074478799</c:v>
                </c:pt>
                <c:pt idx="10">
                  <c:v>139.99274424496724</c:v>
                </c:pt>
                <c:pt idx="11">
                  <c:v>137.63525450467898</c:v>
                </c:pt>
                <c:pt idx="12">
                  <c:v>137.26485659776449</c:v>
                </c:pt>
                <c:pt idx="13">
                  <c:v>137.97784826813086</c:v>
                </c:pt>
                <c:pt idx="14">
                  <c:v>122.99005197703326</c:v>
                </c:pt>
                <c:pt idx="15">
                  <c:v>120.78788148511899</c:v>
                </c:pt>
                <c:pt idx="16">
                  <c:v>127.27920806780169</c:v>
                </c:pt>
                <c:pt idx="17">
                  <c:v>119.9714432495891</c:v>
                </c:pt>
                <c:pt idx="18">
                  <c:v>117.9090262764053</c:v>
                </c:pt>
                <c:pt idx="19">
                  <c:v>107.87562574037467</c:v>
                </c:pt>
                <c:pt idx="20">
                  <c:v>103.36528242711006</c:v>
                </c:pt>
                <c:pt idx="21">
                  <c:v>92.967491156020188</c:v>
                </c:pt>
                <c:pt idx="22">
                  <c:v>69.583943675562367</c:v>
                </c:pt>
              </c:numCache>
            </c:numRef>
          </c:yVal>
        </c:ser>
        <c:ser>
          <c:idx val="2"/>
          <c:order val="1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'240-6'!$J$12</c:f>
              <c:numCache>
                <c:formatCode>General</c:formatCode>
                <c:ptCount val="1"/>
                <c:pt idx="0">
                  <c:v>-11.244532311834911</c:v>
                </c:pt>
              </c:numCache>
            </c:numRef>
          </c:xVal>
          <c:yVal>
            <c:numRef>
              <c:f>'240-6'!$I$12</c:f>
              <c:numCache>
                <c:formatCode>General</c:formatCode>
                <c:ptCount val="1"/>
                <c:pt idx="0">
                  <c:v>138.73912347732721</c:v>
                </c:pt>
              </c:numCache>
            </c:numRef>
          </c:yVal>
        </c:ser>
        <c:ser>
          <c:idx val="4"/>
          <c:order val="2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'240-6'!$J$4</c:f>
              <c:numCache>
                <c:formatCode>General</c:formatCode>
                <c:ptCount val="1"/>
                <c:pt idx="0">
                  <c:v>-11.244532311834911</c:v>
                </c:pt>
              </c:numCache>
            </c:numRef>
          </c:xVal>
          <c:yVal>
            <c:numRef>
              <c:f>'240-6'!$I$4</c:f>
              <c:numCache>
                <c:formatCode>General</c:formatCode>
                <c:ptCount val="1"/>
                <c:pt idx="0">
                  <c:v>138.73912347732721</c:v>
                </c:pt>
              </c:numCache>
            </c:numRef>
          </c:yVal>
        </c:ser>
        <c:axId val="77468416"/>
        <c:axId val="77470720"/>
      </c:scatterChart>
      <c:valAx>
        <c:axId val="77468416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77470720"/>
        <c:crosses val="autoZero"/>
        <c:crossBetween val="midCat"/>
      </c:valAx>
      <c:valAx>
        <c:axId val="7747072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7746841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1.356376590191564E-2"/>
          <c:y val="8.9512142044361614E-3"/>
          <c:w val="0.89954764476206994"/>
          <c:h val="0.92714181519494143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'240-7__4 ркеты'!$H$12:$H$33</c:f>
              <c:numCache>
                <c:formatCode>General</c:formatCode>
                <c:ptCount val="22"/>
                <c:pt idx="0">
                  <c:v>-15.663143066406152</c:v>
                </c:pt>
                <c:pt idx="1">
                  <c:v>-1.3962456797397769</c:v>
                </c:pt>
                <c:pt idx="2">
                  <c:v>34.65595912812789</c:v>
                </c:pt>
                <c:pt idx="3">
                  <c:v>17.127420989179196</c:v>
                </c:pt>
                <c:pt idx="4">
                  <c:v>28.030021175943403</c:v>
                </c:pt>
                <c:pt idx="5">
                  <c:v>5.5939882083892183</c:v>
                </c:pt>
                <c:pt idx="6">
                  <c:v>9.8526852585155389</c:v>
                </c:pt>
                <c:pt idx="7">
                  <c:v>-9.6991715783206871</c:v>
                </c:pt>
                <c:pt idx="8">
                  <c:v>10.507686737663041</c:v>
                </c:pt>
                <c:pt idx="9">
                  <c:v>19.644542446486817</c:v>
                </c:pt>
                <c:pt idx="10">
                  <c:v>18.479596695832697</c:v>
                </c:pt>
                <c:pt idx="11">
                  <c:v>26.794768438411822</c:v>
                </c:pt>
                <c:pt idx="12">
                  <c:v>21.676736492675108</c:v>
                </c:pt>
                <c:pt idx="13">
                  <c:v>20.459705062568595</c:v>
                </c:pt>
                <c:pt idx="14">
                  <c:v>24.419560415947803</c:v>
                </c:pt>
                <c:pt idx="15">
                  <c:v>50.429862901363357</c:v>
                </c:pt>
                <c:pt idx="16">
                  <c:v>-1.3962456797397769</c:v>
                </c:pt>
                <c:pt idx="17">
                  <c:v>34.65595912812789</c:v>
                </c:pt>
                <c:pt idx="18">
                  <c:v>17.127420989179196</c:v>
                </c:pt>
                <c:pt idx="19">
                  <c:v>28.030021175943403</c:v>
                </c:pt>
                <c:pt idx="20">
                  <c:v>5.5939882083892183</c:v>
                </c:pt>
                <c:pt idx="21">
                  <c:v>77.587653302606455</c:v>
                </c:pt>
              </c:numCache>
            </c:numRef>
          </c:xVal>
          <c:yVal>
            <c:numRef>
              <c:f>'240-7__4 ркеты'!$G$12:$G$33</c:f>
              <c:numCache>
                <c:formatCode>General</c:formatCode>
                <c:ptCount val="22"/>
                <c:pt idx="0">
                  <c:v>118.97338336485726</c:v>
                </c:pt>
                <c:pt idx="1">
                  <c:v>159.99390769026741</c:v>
                </c:pt>
                <c:pt idx="2">
                  <c:v>100.17466993661385</c:v>
                </c:pt>
                <c:pt idx="3">
                  <c:v>100.5517351926829</c:v>
                </c:pt>
                <c:pt idx="4">
                  <c:v>102.22679645218354</c:v>
                </c:pt>
                <c:pt idx="5">
                  <c:v>103.84944533277201</c:v>
                </c:pt>
                <c:pt idx="6">
                  <c:v>105.54110380887927</c:v>
                </c:pt>
                <c:pt idx="7">
                  <c:v>105.55532232291414</c:v>
                </c:pt>
                <c:pt idx="8">
                  <c:v>107.48762030775052</c:v>
                </c:pt>
                <c:pt idx="9">
                  <c:v>114.32450285073702</c:v>
                </c:pt>
                <c:pt idx="10">
                  <c:v>114.51857712161538</c:v>
                </c:pt>
                <c:pt idx="11">
                  <c:v>125.16405388262194</c:v>
                </c:pt>
                <c:pt idx="12">
                  <c:v>126.15117555943395</c:v>
                </c:pt>
                <c:pt idx="13">
                  <c:v>130.40475631184893</c:v>
                </c:pt>
                <c:pt idx="14">
                  <c:v>131.75615761356991</c:v>
                </c:pt>
                <c:pt idx="15">
                  <c:v>134.88079525176923</c:v>
                </c:pt>
                <c:pt idx="16">
                  <c:v>159.99390769026741</c:v>
                </c:pt>
                <c:pt idx="17">
                  <c:v>100.17466993661385</c:v>
                </c:pt>
                <c:pt idx="18">
                  <c:v>100.5517351926829</c:v>
                </c:pt>
                <c:pt idx="19">
                  <c:v>102.22679645218354</c:v>
                </c:pt>
                <c:pt idx="20">
                  <c:v>103.84944533277201</c:v>
                </c:pt>
                <c:pt idx="21">
                  <c:v>106.79024325749306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'240-7__4 ркеты'!$H$38:$H$53</c:f>
              <c:numCache>
                <c:formatCode>General</c:formatCode>
                <c:ptCount val="16"/>
                <c:pt idx="0">
                  <c:v>-7.3841229462536955</c:v>
                </c:pt>
                <c:pt idx="1">
                  <c:v>9.2246348296975942</c:v>
                </c:pt>
                <c:pt idx="2">
                  <c:v>22.47923987459296</c:v>
                </c:pt>
                <c:pt idx="3">
                  <c:v>22.152368838761028</c:v>
                </c:pt>
                <c:pt idx="4">
                  <c:v>0.33742841858962325</c:v>
                </c:pt>
                <c:pt idx="5">
                  <c:v>9.2804738249565375</c:v>
                </c:pt>
                <c:pt idx="6">
                  <c:v>1.6811625373498527</c:v>
                </c:pt>
                <c:pt idx="7">
                  <c:v>24.39710774944621</c:v>
                </c:pt>
                <c:pt idx="8">
                  <c:v>8.2700922113482989</c:v>
                </c:pt>
                <c:pt idx="9">
                  <c:v>54.938590436656277</c:v>
                </c:pt>
                <c:pt idx="10">
                  <c:v>67.253273140206971</c:v>
                </c:pt>
                <c:pt idx="11">
                  <c:v>19.965614955398511</c:v>
                </c:pt>
                <c:pt idx="12">
                  <c:v>19.965614955398511</c:v>
                </c:pt>
                <c:pt idx="13">
                  <c:v>9.5090699565041916</c:v>
                </c:pt>
                <c:pt idx="14">
                  <c:v>9.5090699565041916</c:v>
                </c:pt>
                <c:pt idx="15">
                  <c:v>32.365074953319429</c:v>
                </c:pt>
              </c:numCache>
            </c:numRef>
          </c:xVal>
          <c:yVal>
            <c:numRef>
              <c:f>'240-7__4 ркеты'!$G$38:$G$53</c:f>
              <c:numCache>
                <c:formatCode>General</c:formatCode>
                <c:ptCount val="16"/>
                <c:pt idx="0">
                  <c:v>18.586950484536445</c:v>
                </c:pt>
                <c:pt idx="1">
                  <c:v>38.921794823192954</c:v>
                </c:pt>
                <c:pt idx="2">
                  <c:v>51.290191797852636</c:v>
                </c:pt>
                <c:pt idx="3">
                  <c:v>55.760851453609362</c:v>
                </c:pt>
                <c:pt idx="4">
                  <c:v>57.999018457749166</c:v>
                </c:pt>
                <c:pt idx="5">
                  <c:v>65.344263754244693</c:v>
                </c:pt>
                <c:pt idx="6">
                  <c:v>67.979215150831294</c:v>
                </c:pt>
                <c:pt idx="7">
                  <c:v>69.862587509066046</c:v>
                </c:pt>
                <c:pt idx="8">
                  <c:v>73.536423456786338</c:v>
                </c:pt>
                <c:pt idx="9">
                  <c:v>73.795333733464062</c:v>
                </c:pt>
                <c:pt idx="10">
                  <c:v>76.687660362855738</c:v>
                </c:pt>
                <c:pt idx="11">
                  <c:v>81.592733864313971</c:v>
                </c:pt>
                <c:pt idx="12">
                  <c:v>81.592733864313971</c:v>
                </c:pt>
                <c:pt idx="13">
                  <c:v>83.460035876833345</c:v>
                </c:pt>
                <c:pt idx="14">
                  <c:v>83.460035876833345</c:v>
                </c:pt>
                <c:pt idx="15">
                  <c:v>96.729012831032321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'240-7__4 ркеты'!$J$12</c:f>
              <c:numCache>
                <c:formatCode>General</c:formatCode>
                <c:ptCount val="1"/>
                <c:pt idx="0">
                  <c:v>19.205125943233828</c:v>
                </c:pt>
              </c:numCache>
            </c:numRef>
          </c:xVal>
          <c:yVal>
            <c:numRef>
              <c:f>'240-7__4 ркеты'!$I$12</c:f>
              <c:numCache>
                <c:formatCode>General</c:formatCode>
                <c:ptCount val="1"/>
                <c:pt idx="0">
                  <c:v>116.14276367556954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'240-7__4 ркеты'!$J$38</c:f>
              <c:numCache>
                <c:formatCode>General</c:formatCode>
                <c:ptCount val="1"/>
                <c:pt idx="0">
                  <c:v>18.996543355779778</c:v>
                </c:pt>
              </c:numCache>
            </c:numRef>
          </c:xVal>
          <c:yVal>
            <c:numRef>
              <c:f>'240-7__4 ркеты'!$I$38</c:f>
              <c:numCache>
                <c:formatCode>General</c:formatCode>
                <c:ptCount val="1"/>
                <c:pt idx="0">
                  <c:v>67.287427706094732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'240-7__4 ркеты'!$J$4</c:f>
              <c:numCache>
                <c:formatCode>General</c:formatCode>
                <c:ptCount val="1"/>
                <c:pt idx="0">
                  <c:v>-33.668475677188468</c:v>
                </c:pt>
              </c:numCache>
            </c:numRef>
          </c:xVal>
          <c:yVal>
            <c:numRef>
              <c:f>'240-7__4 ркеты'!$I$4</c:f>
              <c:numCache>
                <c:formatCode>General</c:formatCode>
                <c:ptCount val="1"/>
                <c:pt idx="0">
                  <c:v>81.948792971323712</c:v>
                </c:pt>
              </c:numCache>
            </c:numRef>
          </c:yVal>
        </c:ser>
        <c:ser>
          <c:idx val="5"/>
          <c:order val="5"/>
          <c:tx>
            <c:v>КОБЭ 3</c:v>
          </c:tx>
          <c:spPr>
            <a:ln w="28575">
              <a:noFill/>
            </a:ln>
          </c:spPr>
          <c:xVal>
            <c:numRef>
              <c:f>'240-7__4 ркеты'!$H$64:$H$79</c:f>
              <c:numCache>
                <c:formatCode>General</c:formatCode>
                <c:ptCount val="16"/>
                <c:pt idx="0">
                  <c:v>-87.262910989030445</c:v>
                </c:pt>
                <c:pt idx="1">
                  <c:v>-99.076891120952666</c:v>
                </c:pt>
                <c:pt idx="2">
                  <c:v>-90.396188271335703</c:v>
                </c:pt>
                <c:pt idx="3">
                  <c:v>-81.981958163801266</c:v>
                </c:pt>
                <c:pt idx="4">
                  <c:v>-81.067168233927333</c:v>
                </c:pt>
                <c:pt idx="5">
                  <c:v>-91.893319818370216</c:v>
                </c:pt>
                <c:pt idx="6">
                  <c:v>-77.836416260245215</c:v>
                </c:pt>
                <c:pt idx="7">
                  <c:v>-93.041756798202442</c:v>
                </c:pt>
                <c:pt idx="8">
                  <c:v>-73.289664594114953</c:v>
                </c:pt>
                <c:pt idx="9">
                  <c:v>-86.184983293068456</c:v>
                </c:pt>
                <c:pt idx="10">
                  <c:v>-87.221739066324105</c:v>
                </c:pt>
                <c:pt idx="11">
                  <c:v>-94.808340228893329</c:v>
                </c:pt>
                <c:pt idx="12">
                  <c:v>-83.960821630283888</c:v>
                </c:pt>
                <c:pt idx="13">
                  <c:v>-125.68015385030164</c:v>
                </c:pt>
                <c:pt idx="14">
                  <c:v>-99.452189536827333</c:v>
                </c:pt>
                <c:pt idx="15">
                  <c:v>-95.54089111321899</c:v>
                </c:pt>
              </c:numCache>
            </c:numRef>
          </c:xVal>
          <c:yVal>
            <c:numRef>
              <c:f>'240-7__4 ркеты'!$G$64:$G$79</c:f>
              <c:numCache>
                <c:formatCode>General</c:formatCode>
                <c:ptCount val="16"/>
                <c:pt idx="0">
                  <c:v>22.026900955889133</c:v>
                </c:pt>
                <c:pt idx="1">
                  <c:v>24.243961017269633</c:v>
                </c:pt>
                <c:pt idx="2">
                  <c:v>25.778462832628872</c:v>
                </c:pt>
                <c:pt idx="3">
                  <c:v>25.979964119081021</c:v>
                </c:pt>
                <c:pt idx="4">
                  <c:v>28.707389894104317</c:v>
                </c:pt>
                <c:pt idx="5">
                  <c:v>34.053160980424835</c:v>
                </c:pt>
                <c:pt idx="6">
                  <c:v>36.571741874866092</c:v>
                </c:pt>
                <c:pt idx="7">
                  <c:v>36.650122672429752</c:v>
                </c:pt>
                <c:pt idx="8">
                  <c:v>41.044184285744215</c:v>
                </c:pt>
                <c:pt idx="9">
                  <c:v>54.554089258033727</c:v>
                </c:pt>
                <c:pt idx="10">
                  <c:v>56.642459641562816</c:v>
                </c:pt>
                <c:pt idx="11">
                  <c:v>59.626995757311192</c:v>
                </c:pt>
                <c:pt idx="12">
                  <c:v>2.5652351096250796</c:v>
                </c:pt>
                <c:pt idx="13">
                  <c:v>8.9721194912079074</c:v>
                </c:pt>
                <c:pt idx="14">
                  <c:v>10.452846326765346</c:v>
                </c:pt>
                <c:pt idx="15">
                  <c:v>45.91228730189809</c:v>
                </c:pt>
              </c:numCache>
            </c:numRef>
          </c:yVal>
        </c:ser>
        <c:ser>
          <c:idx val="6"/>
          <c:order val="6"/>
          <c:tx>
            <c:v>ЦР3</c:v>
          </c:tx>
          <c:spPr>
            <a:ln w="28575">
              <a:noFill/>
            </a:ln>
          </c:spPr>
          <c:marker>
            <c:symbol val="circle"/>
            <c:size val="17"/>
            <c:spPr>
              <a:solidFill>
                <a:srgbClr val="FFC000"/>
              </a:solidFill>
            </c:spPr>
          </c:marker>
          <c:xVal>
            <c:numRef>
              <c:f>'240-7__4 ркеты'!$J$64</c:f>
              <c:numCache>
                <c:formatCode>General</c:formatCode>
                <c:ptCount val="1"/>
                <c:pt idx="0">
                  <c:v>-90.543462060556095</c:v>
                </c:pt>
              </c:numCache>
            </c:numRef>
          </c:xVal>
          <c:yVal>
            <c:numRef>
              <c:f>'240-7__4 ркеты'!$I$64</c:f>
              <c:numCache>
                <c:formatCode>General</c:formatCode>
                <c:ptCount val="1"/>
                <c:pt idx="0">
                  <c:v>32.111370094927622</c:v>
                </c:pt>
              </c:numCache>
            </c:numRef>
          </c:yVal>
        </c:ser>
        <c:ser>
          <c:idx val="7"/>
          <c:order val="7"/>
          <c:tx>
            <c:v>КОБЭ4</c:v>
          </c:tx>
          <c:spPr>
            <a:ln w="28575">
              <a:noFill/>
            </a:ln>
          </c:spPr>
          <c:marker>
            <c:symbol val="diamond"/>
            <c:size val="14"/>
            <c:spPr>
              <a:solidFill>
                <a:schemeClr val="accent3">
                  <a:lumMod val="50000"/>
                </a:schemeClr>
              </a:solidFill>
            </c:spPr>
          </c:marker>
          <c:xVal>
            <c:numRef>
              <c:f>'240-7__4 ркеты'!$H$90:$H$111</c:f>
              <c:numCache>
                <c:formatCode>General</c:formatCode>
                <c:ptCount val="22"/>
                <c:pt idx="0">
                  <c:v>-101.26355284004818</c:v>
                </c:pt>
                <c:pt idx="1">
                  <c:v>-92.99961346022701</c:v>
                </c:pt>
                <c:pt idx="2">
                  <c:v>-87.140833322222861</c:v>
                </c:pt>
                <c:pt idx="3">
                  <c:v>-82.386472802390799</c:v>
                </c:pt>
                <c:pt idx="4">
                  <c:v>-68.399611511556358</c:v>
                </c:pt>
                <c:pt idx="5">
                  <c:v>-74.060941788851622</c:v>
                </c:pt>
                <c:pt idx="6">
                  <c:v>-89.471112669179732</c:v>
                </c:pt>
                <c:pt idx="7">
                  <c:v>-76.105826390092275</c:v>
                </c:pt>
                <c:pt idx="8">
                  <c:v>-91.907138891653375</c:v>
                </c:pt>
                <c:pt idx="9">
                  <c:v>-85.434965004757117</c:v>
                </c:pt>
                <c:pt idx="10">
                  <c:v>-75.393003831354562</c:v>
                </c:pt>
                <c:pt idx="11">
                  <c:v>-80.300701089146443</c:v>
                </c:pt>
                <c:pt idx="12">
                  <c:v>-85.317400606166004</c:v>
                </c:pt>
                <c:pt idx="13">
                  <c:v>-90.608157445098485</c:v>
                </c:pt>
                <c:pt idx="14">
                  <c:v>-72.788121226759756</c:v>
                </c:pt>
                <c:pt idx="15">
                  <c:v>-79.129292842196051</c:v>
                </c:pt>
                <c:pt idx="16">
                  <c:v>-83.154048343405776</c:v>
                </c:pt>
                <c:pt idx="17">
                  <c:v>-59.82454944219154</c:v>
                </c:pt>
                <c:pt idx="18">
                  <c:v>-85.378322546497884</c:v>
                </c:pt>
                <c:pt idx="19">
                  <c:v>-88.231523672434392</c:v>
                </c:pt>
                <c:pt idx="20">
                  <c:v>-75.794671893538947</c:v>
                </c:pt>
                <c:pt idx="21">
                  <c:v>-86.216557218881533</c:v>
                </c:pt>
              </c:numCache>
            </c:numRef>
          </c:xVal>
          <c:yVal>
            <c:numRef>
              <c:f>'240-7__4 ркеты'!$G$90:$G$111</c:f>
              <c:numCache>
                <c:formatCode>General</c:formatCode>
                <c:ptCount val="22"/>
                <c:pt idx="0">
                  <c:v>71.566003564616977</c:v>
                </c:pt>
                <c:pt idx="1">
                  <c:v>78.962471442124723</c:v>
                </c:pt>
                <c:pt idx="2">
                  <c:v>85.384279395615764</c:v>
                </c:pt>
                <c:pt idx="3">
                  <c:v>95.333462641304081</c:v>
                </c:pt>
                <c:pt idx="4">
                  <c:v>98.59763255305964</c:v>
                </c:pt>
                <c:pt idx="5">
                  <c:v>101.93614129124337</c:v>
                </c:pt>
                <c:pt idx="6">
                  <c:v>105.06626479388589</c:v>
                </c:pt>
                <c:pt idx="7">
                  <c:v>105.39403773212759</c:v>
                </c:pt>
                <c:pt idx="8">
                  <c:v>108.24545173239537</c:v>
                </c:pt>
                <c:pt idx="9">
                  <c:v>108.37373646154278</c:v>
                </c:pt>
                <c:pt idx="10">
                  <c:v>113.18964163422974</c:v>
                </c:pt>
                <c:pt idx="11">
                  <c:v>114.68128620045886</c:v>
                </c:pt>
                <c:pt idx="12">
                  <c:v>116.00405662651193</c:v>
                </c:pt>
                <c:pt idx="13">
                  <c:v>117.02205691408882</c:v>
                </c:pt>
                <c:pt idx="14">
                  <c:v>117.24286506341666</c:v>
                </c:pt>
                <c:pt idx="15">
                  <c:v>120.31024484346285</c:v>
                </c:pt>
                <c:pt idx="16">
                  <c:v>124.84151650834163</c:v>
                </c:pt>
                <c:pt idx="17">
                  <c:v>128.78285322215368</c:v>
                </c:pt>
                <c:pt idx="18">
                  <c:v>135.31645147263569</c:v>
                </c:pt>
                <c:pt idx="19">
                  <c:v>135.86463200715869</c:v>
                </c:pt>
                <c:pt idx="20">
                  <c:v>138.6332128768239</c:v>
                </c:pt>
                <c:pt idx="21">
                  <c:v>148.83113001426591</c:v>
                </c:pt>
              </c:numCache>
            </c:numRef>
          </c:yVal>
        </c:ser>
        <c:ser>
          <c:idx val="8"/>
          <c:order val="8"/>
          <c:tx>
            <c:v>ЦР4</c:v>
          </c:tx>
          <c:spPr>
            <a:ln w="28575">
              <a:noFill/>
            </a:ln>
          </c:spPr>
          <c:marker>
            <c:symbol val="circle"/>
            <c:size val="17"/>
          </c:marker>
          <c:xVal>
            <c:numRef>
              <c:f>'240-7__4 ркеты'!$J$90</c:f>
              <c:numCache>
                <c:formatCode>General</c:formatCode>
                <c:ptCount val="1"/>
                <c:pt idx="0">
                  <c:v>-82.332109947211379</c:v>
                </c:pt>
              </c:numCache>
            </c:numRef>
          </c:xVal>
          <c:yVal>
            <c:numRef>
              <c:f>'240-7__4 ркеты'!$I$90</c:f>
              <c:numCache>
                <c:formatCode>General</c:formatCode>
                <c:ptCount val="1"/>
                <c:pt idx="0">
                  <c:v>112.25361040870294</c:v>
                </c:pt>
              </c:numCache>
            </c:numRef>
          </c:yVal>
        </c:ser>
        <c:axId val="102537856"/>
        <c:axId val="103110528"/>
      </c:scatterChart>
      <c:valAx>
        <c:axId val="102537856"/>
        <c:scaling>
          <c:orientation val="minMax"/>
          <c:max val="100"/>
          <c:min val="-15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103110528"/>
        <c:crosses val="autoZero"/>
        <c:crossBetween val="midCat"/>
      </c:valAx>
      <c:valAx>
        <c:axId val="103110528"/>
        <c:scaling>
          <c:orientation val="minMax"/>
          <c:max val="200"/>
          <c:min val="-5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10253785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'240-8'!$H$12:$H$34</c:f>
              <c:numCache>
                <c:formatCode>General</c:formatCode>
                <c:ptCount val="23"/>
                <c:pt idx="0">
                  <c:v>-19.466630171998556</c:v>
                </c:pt>
                <c:pt idx="1">
                  <c:v>-20.882777644622447</c:v>
                </c:pt>
                <c:pt idx="2">
                  <c:v>-27.164157567274469</c:v>
                </c:pt>
                <c:pt idx="3">
                  <c:v>-28.165240290517744</c:v>
                </c:pt>
                <c:pt idx="4">
                  <c:v>-31.082792026175976</c:v>
                </c:pt>
                <c:pt idx="5">
                  <c:v>-25.186787389703913</c:v>
                </c:pt>
                <c:pt idx="6">
                  <c:v>-20.199169024787736</c:v>
                </c:pt>
                <c:pt idx="7">
                  <c:v>-35.526600063897362</c:v>
                </c:pt>
                <c:pt idx="8">
                  <c:v>-22.037226838641665</c:v>
                </c:pt>
                <c:pt idx="9">
                  <c:v>-19.749800885036475</c:v>
                </c:pt>
                <c:pt idx="10">
                  <c:v>-35.728933316796258</c:v>
                </c:pt>
                <c:pt idx="11">
                  <c:v>-31.437258482625214</c:v>
                </c:pt>
                <c:pt idx="12">
                  <c:v>-34.586923277778219</c:v>
                </c:pt>
                <c:pt idx="13">
                  <c:v>-30.562079269379737</c:v>
                </c:pt>
                <c:pt idx="14">
                  <c:v>-28.290691546273454</c:v>
                </c:pt>
                <c:pt idx="15">
                  <c:v>-25.254701470447618</c:v>
                </c:pt>
                <c:pt idx="16">
                  <c:v>-18.388451790910196</c:v>
                </c:pt>
                <c:pt idx="17">
                  <c:v>-26.054000626175487</c:v>
                </c:pt>
                <c:pt idx="18">
                  <c:v>-30.038664266643266</c:v>
                </c:pt>
                <c:pt idx="19">
                  <c:v>-36.008573476309458</c:v>
                </c:pt>
                <c:pt idx="20">
                  <c:v>-36.11488927349172</c:v>
                </c:pt>
                <c:pt idx="21">
                  <c:v>-48.18390763640339</c:v>
                </c:pt>
                <c:pt idx="22">
                  <c:v>-30.120430465603636</c:v>
                </c:pt>
              </c:numCache>
            </c:numRef>
          </c:xVal>
          <c:yVal>
            <c:numRef>
              <c:f>'240-8'!$G$12:$G$34</c:f>
              <c:numCache>
                <c:formatCode>General</c:formatCode>
                <c:ptCount val="23"/>
                <c:pt idx="0">
                  <c:v>77.595427118784755</c:v>
                </c:pt>
                <c:pt idx="1">
                  <c:v>87.543758188949468</c:v>
                </c:pt>
                <c:pt idx="2">
                  <c:v>116.88502275167801</c:v>
                </c:pt>
                <c:pt idx="3">
                  <c:v>122.81172272783</c:v>
                </c:pt>
                <c:pt idx="4">
                  <c:v>126.2293945159268</c:v>
                </c:pt>
                <c:pt idx="5">
                  <c:v>129.57478821509164</c:v>
                </c:pt>
                <c:pt idx="6">
                  <c:v>136.51371202449977</c:v>
                </c:pt>
                <c:pt idx="7">
                  <c:v>141.61165449178216</c:v>
                </c:pt>
                <c:pt idx="8">
                  <c:v>158.47511045354173</c:v>
                </c:pt>
                <c:pt idx="9">
                  <c:v>162.80646598032098</c:v>
                </c:pt>
                <c:pt idx="10">
                  <c:v>160.06074885506416</c:v>
                </c:pt>
                <c:pt idx="11">
                  <c:v>162.99600847596426</c:v>
                </c:pt>
                <c:pt idx="12">
                  <c:v>172.56808725305234</c:v>
                </c:pt>
                <c:pt idx="13">
                  <c:v>173.32616453014862</c:v>
                </c:pt>
                <c:pt idx="14">
                  <c:v>173.71136051460081</c:v>
                </c:pt>
                <c:pt idx="15">
                  <c:v>174.17864408026193</c:v>
                </c:pt>
                <c:pt idx="16">
                  <c:v>188.10333553856341</c:v>
                </c:pt>
                <c:pt idx="17">
                  <c:v>176.08290391565913</c:v>
                </c:pt>
                <c:pt idx="18">
                  <c:v>179.50397947977612</c:v>
                </c:pt>
                <c:pt idx="19">
                  <c:v>116.56492884311825</c:v>
                </c:pt>
                <c:pt idx="20">
                  <c:v>103.90242909943652</c:v>
                </c:pt>
                <c:pt idx="21">
                  <c:v>78.372897387340146</c:v>
                </c:pt>
                <c:pt idx="22">
                  <c:v>195.69557907261662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strRef>
              <c:f>'240-8'!$H$38:$H$61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xVal>
          <c:yVal>
            <c:numRef>
              <c:f>'240-8'!$G$38:$G$61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'240-8'!$J$12</c:f>
              <c:numCache>
                <c:formatCode>General</c:formatCode>
                <c:ptCount val="1"/>
                <c:pt idx="0">
                  <c:v>-28.705682034847566</c:v>
                </c:pt>
              </c:numCache>
            </c:numRef>
          </c:xVal>
          <c:yVal>
            <c:numRef>
              <c:f>'240-8'!$I$12</c:f>
              <c:numCache>
                <c:formatCode>General</c:formatCode>
                <c:ptCount val="1"/>
                <c:pt idx="0">
                  <c:v>144.1353966745221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'240-8'!$J$38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'240-8'!$I$38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'240-8'!$J$4</c:f>
              <c:numCache>
                <c:formatCode>General</c:formatCode>
                <c:ptCount val="1"/>
                <c:pt idx="0">
                  <c:v>-28.705682034847566</c:v>
                </c:pt>
              </c:numCache>
            </c:numRef>
          </c:xVal>
          <c:yVal>
            <c:numRef>
              <c:f>'240-8'!$I$4</c:f>
              <c:numCache>
                <c:formatCode>General</c:formatCode>
                <c:ptCount val="1"/>
                <c:pt idx="0">
                  <c:v>144.1353966745221</c:v>
                </c:pt>
              </c:numCache>
            </c:numRef>
          </c:yVal>
        </c:ser>
        <c:axId val="70592768"/>
        <c:axId val="70628096"/>
      </c:scatterChart>
      <c:valAx>
        <c:axId val="70592768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70628096"/>
        <c:crosses val="autoZero"/>
        <c:crossBetween val="midCat"/>
      </c:valAx>
      <c:valAx>
        <c:axId val="7062809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70592768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'240-9'!$H$12:$H$32</c:f>
              <c:numCache>
                <c:formatCode>General</c:formatCode>
                <c:ptCount val="21"/>
                <c:pt idx="0">
                  <c:v>11.227497104164351</c:v>
                </c:pt>
                <c:pt idx="1">
                  <c:v>6.9203180692920547</c:v>
                </c:pt>
                <c:pt idx="2">
                  <c:v>2.85050745670519</c:v>
                </c:pt>
                <c:pt idx="3">
                  <c:v>0.2123483174591124</c:v>
                </c:pt>
                <c:pt idx="4">
                  <c:v>-0.43633169765429008</c:v>
                </c:pt>
                <c:pt idx="5">
                  <c:v>12.856011692682745</c:v>
                </c:pt>
                <c:pt idx="6">
                  <c:v>3.8626467580932946</c:v>
                </c:pt>
                <c:pt idx="7">
                  <c:v>15.671907124261713</c:v>
                </c:pt>
                <c:pt idx="8">
                  <c:v>18.218172742160807</c:v>
                </c:pt>
                <c:pt idx="9">
                  <c:v>5.0783279717274548</c:v>
                </c:pt>
                <c:pt idx="10">
                  <c:v>15.258173851748365</c:v>
                </c:pt>
                <c:pt idx="11">
                  <c:v>9.4217876709126465</c:v>
                </c:pt>
                <c:pt idx="12">
                  <c:v>2.1787150435007652</c:v>
                </c:pt>
                <c:pt idx="13">
                  <c:v>-9.4217876709125061</c:v>
                </c:pt>
                <c:pt idx="14">
                  <c:v>-13.257020991588639</c:v>
                </c:pt>
                <c:pt idx="15">
                  <c:v>-5.3053220532849918</c:v>
                </c:pt>
                <c:pt idx="16">
                  <c:v>12.484381541189505</c:v>
                </c:pt>
                <c:pt idx="17">
                  <c:v>9.282585305139774</c:v>
                </c:pt>
                <c:pt idx="18">
                  <c:v>-4.1216403238398511</c:v>
                </c:pt>
                <c:pt idx="19">
                  <c:v>-7.9387285004910924</c:v>
                </c:pt>
                <c:pt idx="20">
                  <c:v>-5.7933164526151613</c:v>
                </c:pt>
              </c:numCache>
            </c:numRef>
          </c:xVal>
          <c:yVal>
            <c:numRef>
              <c:f>'240-9'!$G$12:$G$32</c:f>
              <c:numCache>
                <c:formatCode>General</c:formatCode>
                <c:ptCount val="21"/>
                <c:pt idx="0">
                  <c:v>137.54251455014185</c:v>
                </c:pt>
                <c:pt idx="1">
                  <c:v>139.82885681367716</c:v>
                </c:pt>
                <c:pt idx="2">
                  <c:v>139.97097773195438</c:v>
                </c:pt>
                <c:pt idx="3">
                  <c:v>145.99984557591858</c:v>
                </c:pt>
                <c:pt idx="4">
                  <c:v>149.99936538082295</c:v>
                </c:pt>
                <c:pt idx="5">
                  <c:v>149.44806108932161</c:v>
                </c:pt>
                <c:pt idx="6">
                  <c:v>165.95505403579065</c:v>
                </c:pt>
                <c:pt idx="7">
                  <c:v>185.33858564014272</c:v>
                </c:pt>
                <c:pt idx="8">
                  <c:v>195.15147496736168</c:v>
                </c:pt>
                <c:pt idx="9">
                  <c:v>193.93352104525812</c:v>
                </c:pt>
                <c:pt idx="10">
                  <c:v>209.44495250712018</c:v>
                </c:pt>
                <c:pt idx="11">
                  <c:v>215.79441586168127</c:v>
                </c:pt>
                <c:pt idx="12">
                  <c:v>213.98890906016419</c:v>
                </c:pt>
                <c:pt idx="13">
                  <c:v>215.79441586168127</c:v>
                </c:pt>
                <c:pt idx="14">
                  <c:v>227.61426008584914</c:v>
                </c:pt>
                <c:pt idx="15">
                  <c:v>227.93826698891726</c:v>
                </c:pt>
                <c:pt idx="16">
                  <c:v>225.65491401149237</c:v>
                </c:pt>
                <c:pt idx="17">
                  <c:v>227.81096025005644</c:v>
                </c:pt>
                <c:pt idx="18">
                  <c:v>217.961033400562</c:v>
                </c:pt>
                <c:pt idx="19">
                  <c:v>181.82677632789813</c:v>
                </c:pt>
                <c:pt idx="20">
                  <c:v>165.8988772851699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'240-9'!$H$38:$H$60</c:f>
              <c:numCache>
                <c:formatCode>General</c:formatCode>
                <c:ptCount val="23"/>
                <c:pt idx="0">
                  <c:v>-104.30872895604747</c:v>
                </c:pt>
                <c:pt idx="1">
                  <c:v>-99.053021407065302</c:v>
                </c:pt>
                <c:pt idx="2">
                  <c:v>-100.28651130134334</c:v>
                </c:pt>
                <c:pt idx="3">
                  <c:v>-103.51218398215231</c:v>
                </c:pt>
                <c:pt idx="4">
                  <c:v>-102.41201064306705</c:v>
                </c:pt>
                <c:pt idx="5">
                  <c:v>-111.2141251183872</c:v>
                </c:pt>
                <c:pt idx="6">
                  <c:v>-110.73396425997689</c:v>
                </c:pt>
                <c:pt idx="7">
                  <c:v>-112.26581524012384</c:v>
                </c:pt>
                <c:pt idx="8">
                  <c:v>-105.35484239762972</c:v>
                </c:pt>
                <c:pt idx="9">
                  <c:v>-115.68143379621202</c:v>
                </c:pt>
                <c:pt idx="10">
                  <c:v>-114.29973594141894</c:v>
                </c:pt>
                <c:pt idx="11">
                  <c:v>-121.8226818067762</c:v>
                </c:pt>
                <c:pt idx="12">
                  <c:v>-130.94673874881011</c:v>
                </c:pt>
                <c:pt idx="13">
                  <c:v>-123.52349481637201</c:v>
                </c:pt>
                <c:pt idx="14">
                  <c:v>-115.60175260277265</c:v>
                </c:pt>
                <c:pt idx="15">
                  <c:v>-108.36222095997955</c:v>
                </c:pt>
                <c:pt idx="16">
                  <c:v>-113.38818396374442</c:v>
                </c:pt>
                <c:pt idx="17">
                  <c:v>-112.70402737420002</c:v>
                </c:pt>
                <c:pt idx="18">
                  <c:v>-112.80750435434729</c:v>
                </c:pt>
                <c:pt idx="19">
                  <c:v>-120.73908300371426</c:v>
                </c:pt>
                <c:pt idx="20">
                  <c:v>-125.40167025628587</c:v>
                </c:pt>
                <c:pt idx="21">
                  <c:v>-105.69185075814804</c:v>
                </c:pt>
                <c:pt idx="22">
                  <c:v>-129.52582875148585</c:v>
                </c:pt>
              </c:numCache>
            </c:numRef>
          </c:xVal>
          <c:yVal>
            <c:numRef>
              <c:f>'240-9'!$G$38:$G$60</c:f>
              <c:numCache>
                <c:formatCode>General</c:formatCode>
                <c:ptCount val="23"/>
                <c:pt idx="0">
                  <c:v>110.56079351910343</c:v>
                </c:pt>
                <c:pt idx="1">
                  <c:v>120.51762920888986</c:v>
                </c:pt>
                <c:pt idx="2">
                  <c:v>132.28233310236683</c:v>
                </c:pt>
                <c:pt idx="3">
                  <c:v>137.36530772813435</c:v>
                </c:pt>
                <c:pt idx="4">
                  <c:v>143.13553044595295</c:v>
                </c:pt>
                <c:pt idx="5">
                  <c:v>144.06740913250198</c:v>
                </c:pt>
                <c:pt idx="6">
                  <c:v>146.94893384870187</c:v>
                </c:pt>
                <c:pt idx="7">
                  <c:v>150.7991602379482</c:v>
                </c:pt>
                <c:pt idx="8">
                  <c:v>155.70599597758141</c:v>
                </c:pt>
                <c:pt idx="9">
                  <c:v>160.69164842907244</c:v>
                </c:pt>
                <c:pt idx="10">
                  <c:v>146.73639754240222</c:v>
                </c:pt>
                <c:pt idx="11">
                  <c:v>140.55331443052117</c:v>
                </c:pt>
                <c:pt idx="12">
                  <c:v>132.09447986593108</c:v>
                </c:pt>
                <c:pt idx="13">
                  <c:v>130.9272554831488</c:v>
                </c:pt>
                <c:pt idx="14">
                  <c:v>135.35226187680556</c:v>
                </c:pt>
                <c:pt idx="15">
                  <c:v>128.38079711787339</c:v>
                </c:pt>
                <c:pt idx="16">
                  <c:v>121.23992633371257</c:v>
                </c:pt>
                <c:pt idx="17">
                  <c:v>116.36924943315383</c:v>
                </c:pt>
                <c:pt idx="18">
                  <c:v>113.46570830583097</c:v>
                </c:pt>
                <c:pt idx="19">
                  <c:v>101.91208875998076</c:v>
                </c:pt>
                <c:pt idx="20">
                  <c:v>92.792354733209294</c:v>
                </c:pt>
                <c:pt idx="21">
                  <c:v>85.587573182777902</c:v>
                </c:pt>
                <c:pt idx="22">
                  <c:v>41.461544667809456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'240-9'!$J$12</c:f>
              <c:numCache>
                <c:formatCode>General</c:formatCode>
                <c:ptCount val="1"/>
                <c:pt idx="0">
                  <c:v>3.7737729980310126</c:v>
                </c:pt>
              </c:numCache>
            </c:numRef>
          </c:xVal>
          <c:yVal>
            <c:numRef>
              <c:f>'240-9'!$I$12</c:f>
              <c:numCache>
                <c:formatCode>General</c:formatCode>
                <c:ptCount val="1"/>
                <c:pt idx="0">
                  <c:v>187.28076373671342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'240-9'!$J$38</c:f>
              <c:numCache>
                <c:formatCode>General</c:formatCode>
                <c:ptCount val="1"/>
                <c:pt idx="0">
                  <c:v>-113.02771349739395</c:v>
                </c:pt>
              </c:numCache>
            </c:numRef>
          </c:xVal>
          <c:yVal>
            <c:numRef>
              <c:f>'240-9'!$I$38</c:f>
              <c:numCache>
                <c:formatCode>General</c:formatCode>
                <c:ptCount val="1"/>
                <c:pt idx="0">
                  <c:v>125.60642145058307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'240-9'!$J$4</c:f>
              <c:numCache>
                <c:formatCode>General</c:formatCode>
                <c:ptCount val="1"/>
                <c:pt idx="0">
                  <c:v>-54.62697024968147</c:v>
                </c:pt>
              </c:numCache>
            </c:numRef>
          </c:xVal>
          <c:yVal>
            <c:numRef>
              <c:f>'240-9'!$I$4</c:f>
              <c:numCache>
                <c:formatCode>General</c:formatCode>
                <c:ptCount val="1"/>
                <c:pt idx="0">
                  <c:v>156.44359259364825</c:v>
                </c:pt>
              </c:numCache>
            </c:numRef>
          </c:yVal>
        </c:ser>
        <c:axId val="103085952"/>
        <c:axId val="103100800"/>
      </c:scatterChart>
      <c:valAx>
        <c:axId val="103085952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103100800"/>
        <c:crosses val="autoZero"/>
        <c:crossBetween val="midCat"/>
      </c:valAx>
      <c:valAx>
        <c:axId val="10310080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103085952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'241-1'!$H$12:$H$30</c:f>
              <c:numCache>
                <c:formatCode>General</c:formatCode>
                <c:ptCount val="19"/>
                <c:pt idx="0">
                  <c:v>-33.917177708834025</c:v>
                </c:pt>
                <c:pt idx="1">
                  <c:v>-25.98281427876498</c:v>
                </c:pt>
                <c:pt idx="2">
                  <c:v>-42.124400190760049</c:v>
                </c:pt>
                <c:pt idx="3">
                  <c:v>-23.370953450981819</c:v>
                </c:pt>
                <c:pt idx="4">
                  <c:v>-46.741906901963638</c:v>
                </c:pt>
                <c:pt idx="5">
                  <c:v>-26.625042469703615</c:v>
                </c:pt>
                <c:pt idx="6">
                  <c:v>-40.263873351195286</c:v>
                </c:pt>
                <c:pt idx="7">
                  <c:v>-23.604426701331906</c:v>
                </c:pt>
                <c:pt idx="8">
                  <c:v>-35.577408470587478</c:v>
                </c:pt>
                <c:pt idx="9">
                  <c:v>-23.888490458718493</c:v>
                </c:pt>
                <c:pt idx="10">
                  <c:v>-34.801620572637475</c:v>
                </c:pt>
                <c:pt idx="11">
                  <c:v>-24.600718035243375</c:v>
                </c:pt>
                <c:pt idx="12">
                  <c:v>-17.282002103002657</c:v>
                </c:pt>
                <c:pt idx="13">
                  <c:v>-21.075612320734948</c:v>
                </c:pt>
                <c:pt idx="14">
                  <c:v>-17.127420989179296</c:v>
                </c:pt>
                <c:pt idx="15">
                  <c:v>-15.748682854471628</c:v>
                </c:pt>
                <c:pt idx="16">
                  <c:v>-10.570048131011328</c:v>
                </c:pt>
                <c:pt idx="17">
                  <c:v>2.4433369012196917</c:v>
                </c:pt>
                <c:pt idx="18">
                  <c:v>-52.234711363986321</c:v>
                </c:pt>
              </c:numCache>
            </c:numRef>
          </c:xVal>
          <c:yVal>
            <c:numRef>
              <c:f>'241-1'!$G$12:$G$30</c:f>
              <c:numCache>
                <c:formatCode>General</c:formatCode>
                <c:ptCount val="19"/>
                <c:pt idx="0">
                  <c:v>-2.3717201073002614</c:v>
                </c:pt>
                <c:pt idx="1">
                  <c:v>0.94517837216400491</c:v>
                </c:pt>
                <c:pt idx="2">
                  <c:v>81.789577016687744</c:v>
                </c:pt>
                <c:pt idx="3">
                  <c:v>50.890063222519593</c:v>
                </c:pt>
                <c:pt idx="4">
                  <c:v>101.78012644503919</c:v>
                </c:pt>
                <c:pt idx="5">
                  <c:v>58.198858352088649</c:v>
                </c:pt>
                <c:pt idx="6">
                  <c:v>93.716703435187611</c:v>
                </c:pt>
                <c:pt idx="7">
                  <c:v>55.161862188485344</c:v>
                </c:pt>
                <c:pt idx="8">
                  <c:v>84.842489393681575</c:v>
                </c:pt>
                <c:pt idx="9">
                  <c:v>59.374573881449585</c:v>
                </c:pt>
                <c:pt idx="10">
                  <c:v>100.12415895036609</c:v>
                </c:pt>
                <c:pt idx="11">
                  <c:v>105.16085142366646</c:v>
                </c:pt>
                <c:pt idx="12">
                  <c:v>80.1581711574797</c:v>
                </c:pt>
                <c:pt idx="13">
                  <c:v>97.753867265219156</c:v>
                </c:pt>
                <c:pt idx="14">
                  <c:v>100.55173519268287</c:v>
                </c:pt>
                <c:pt idx="15">
                  <c:v>110.88723546174857</c:v>
                </c:pt>
                <c:pt idx="16">
                  <c:v>103.46146182278744</c:v>
                </c:pt>
                <c:pt idx="17">
                  <c:v>139.97867732189476</c:v>
                </c:pt>
                <c:pt idx="18">
                  <c:v>55.204482867979465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'241-1'!$H$38:$H$61</c:f>
              <c:numCache>
                <c:formatCode>General</c:formatCode>
                <c:ptCount val="24"/>
                <c:pt idx="0">
                  <c:v>10.268217731513298</c:v>
                </c:pt>
                <c:pt idx="1">
                  <c:v>11.453936640027722</c:v>
                </c:pt>
                <c:pt idx="2">
                  <c:v>13.93495998105138</c:v>
                </c:pt>
                <c:pt idx="3">
                  <c:v>17.869830700483195</c:v>
                </c:pt>
                <c:pt idx="4">
                  <c:v>16.707352604166644</c:v>
                </c:pt>
                <c:pt idx="5">
                  <c:v>17.530620935583947</c:v>
                </c:pt>
                <c:pt idx="6">
                  <c:v>13.084026543695469</c:v>
                </c:pt>
                <c:pt idx="7">
                  <c:v>25.828671958412158</c:v>
                </c:pt>
                <c:pt idx="8">
                  <c:v>24.556209275390078</c:v>
                </c:pt>
                <c:pt idx="9">
                  <c:v>26.612696424673196</c:v>
                </c:pt>
                <c:pt idx="10">
                  <c:v>28.165240290517822</c:v>
                </c:pt>
                <c:pt idx="11">
                  <c:v>17.025840275702041</c:v>
                </c:pt>
                <c:pt idx="12">
                  <c:v>12.920603320119117</c:v>
                </c:pt>
                <c:pt idx="13">
                  <c:v>34.18810726000811</c:v>
                </c:pt>
                <c:pt idx="14">
                  <c:v>39.58128758651219</c:v>
                </c:pt>
                <c:pt idx="15">
                  <c:v>16.216300613227837</c:v>
                </c:pt>
                <c:pt idx="16">
                  <c:v>51.004258976567471</c:v>
                </c:pt>
                <c:pt idx="17">
                  <c:v>53.563959790645633</c:v>
                </c:pt>
                <c:pt idx="18">
                  <c:v>10.109214351685141</c:v>
                </c:pt>
                <c:pt idx="19">
                  <c:v>14.768721984946188</c:v>
                </c:pt>
                <c:pt idx="20">
                  <c:v>14.416161633138339</c:v>
                </c:pt>
                <c:pt idx="21">
                  <c:v>26.407616937708479</c:v>
                </c:pt>
                <c:pt idx="22">
                  <c:v>28.914187068457199</c:v>
                </c:pt>
                <c:pt idx="23">
                  <c:v>36.298307595200434</c:v>
                </c:pt>
              </c:numCache>
            </c:numRef>
          </c:xVal>
          <c:yVal>
            <c:numRef>
              <c:f>'241-1'!$G$38:$G$61</c:f>
              <c:numCache>
                <c:formatCode>General</c:formatCode>
                <c:ptCount val="24"/>
                <c:pt idx="0">
                  <c:v>123.57412230972241</c:v>
                </c:pt>
                <c:pt idx="1">
                  <c:v>115.43312928031635</c:v>
                </c:pt>
                <c:pt idx="2">
                  <c:v>127.23921129245691</c:v>
                </c:pt>
                <c:pt idx="3">
                  <c:v>138.85484921577665</c:v>
                </c:pt>
                <c:pt idx="4">
                  <c:v>126.90494225584773</c:v>
                </c:pt>
                <c:pt idx="5">
                  <c:v>128.81256666029469</c:v>
                </c:pt>
                <c:pt idx="6">
                  <c:v>95.104196802264582</c:v>
                </c:pt>
                <c:pt idx="7">
                  <c:v>178.13724962754065</c:v>
                </c:pt>
                <c:pt idx="8">
                  <c:v>135.79761627518815</c:v>
                </c:pt>
                <c:pt idx="9">
                  <c:v>125.20289289392713</c:v>
                </c:pt>
                <c:pt idx="10">
                  <c:v>122.81172272782997</c:v>
                </c:pt>
                <c:pt idx="11">
                  <c:v>65.83403954571132</c:v>
                </c:pt>
                <c:pt idx="12">
                  <c:v>39.96320820259713</c:v>
                </c:pt>
                <c:pt idx="13">
                  <c:v>96.099809167230816</c:v>
                </c:pt>
                <c:pt idx="14">
                  <c:v>94.007029912628425</c:v>
                </c:pt>
                <c:pt idx="15">
                  <c:v>36.56544262581032</c:v>
                </c:pt>
                <c:pt idx="16">
                  <c:v>86.014914789536562</c:v>
                </c:pt>
                <c:pt idx="17">
                  <c:v>89.145399273019677</c:v>
                </c:pt>
                <c:pt idx="18">
                  <c:v>147.6543388634133</c:v>
                </c:pt>
                <c:pt idx="19">
                  <c:v>163.33366110796442</c:v>
                </c:pt>
                <c:pt idx="20">
                  <c:v>145.28652478384646</c:v>
                </c:pt>
                <c:pt idx="21">
                  <c:v>157.80569624595702</c:v>
                </c:pt>
                <c:pt idx="22">
                  <c:v>141.06725270653803</c:v>
                </c:pt>
                <c:pt idx="23">
                  <c:v>133.14065068837621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'241-1'!$J$12</c:f>
              <c:numCache>
                <c:formatCode>General</c:formatCode>
                <c:ptCount val="1"/>
                <c:pt idx="0">
                  <c:v>-27.004945971152029</c:v>
                </c:pt>
              </c:numCache>
            </c:numRef>
          </c:xVal>
          <c:yVal>
            <c:numRef>
              <c:f>'241-1'!$I$12</c:f>
              <c:numCache>
                <c:formatCode>General</c:formatCode>
                <c:ptCount val="1"/>
                <c:pt idx="0">
                  <c:v>77.768860719148833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'241-1'!$J$38</c:f>
              <c:numCache>
                <c:formatCode>General</c:formatCode>
                <c:ptCount val="1"/>
                <c:pt idx="0">
                  <c:v>23.39276376997638</c:v>
                </c:pt>
              </c:numCache>
            </c:numRef>
          </c:xVal>
          <c:yVal>
            <c:numRef>
              <c:f>'241-1'!$I$38</c:f>
              <c:numCache>
                <c:formatCode>General</c:formatCode>
                <c:ptCount val="1"/>
                <c:pt idx="0">
                  <c:v>117.24126946890811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'241-1'!$J$4</c:f>
              <c:numCache>
                <c:formatCode>General</c:formatCode>
                <c:ptCount val="1"/>
                <c:pt idx="0">
                  <c:v>-1.8060911005878246</c:v>
                </c:pt>
              </c:numCache>
            </c:numRef>
          </c:xVal>
          <c:yVal>
            <c:numRef>
              <c:f>'241-1'!$I$4</c:f>
              <c:numCache>
                <c:formatCode>General</c:formatCode>
                <c:ptCount val="1"/>
                <c:pt idx="0">
                  <c:v>97.505065094028481</c:v>
                </c:pt>
              </c:numCache>
            </c:numRef>
          </c:yVal>
        </c:ser>
        <c:axId val="81380864"/>
        <c:axId val="81391616"/>
      </c:scatterChart>
      <c:valAx>
        <c:axId val="81380864"/>
        <c:scaling>
          <c:orientation val="minMax"/>
          <c:max val="110"/>
          <c:min val="-11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1391616"/>
        <c:crosses val="autoZero"/>
        <c:crossBetween val="midCat"/>
      </c:valAx>
      <c:valAx>
        <c:axId val="8139161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1380864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1.2127606179385946E-2"/>
          <c:y val="8.8934067667771032E-3"/>
          <c:w val="0.88730826664583773"/>
          <c:h val="0.92761233739225224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'241-2__6 ракет'!$H$12:$H$34</c:f>
              <c:numCache>
                <c:formatCode>General</c:formatCode>
                <c:ptCount val="23"/>
                <c:pt idx="0">
                  <c:v>-48.014457929850401</c:v>
                </c:pt>
                <c:pt idx="1">
                  <c:v>-32.392951825516562</c:v>
                </c:pt>
                <c:pt idx="2">
                  <c:v>-40.491189781895699</c:v>
                </c:pt>
                <c:pt idx="3">
                  <c:v>-37.732051846339175</c:v>
                </c:pt>
                <c:pt idx="4">
                  <c:v>-28.947989088553214</c:v>
                </c:pt>
                <c:pt idx="5">
                  <c:v>-30.069566531350699</c:v>
                </c:pt>
                <c:pt idx="6">
                  <c:v>-23.879635127798181</c:v>
                </c:pt>
                <c:pt idx="7">
                  <c:v>-18.535704270235161</c:v>
                </c:pt>
                <c:pt idx="8">
                  <c:v>-21.201426814819449</c:v>
                </c:pt>
                <c:pt idx="9">
                  <c:v>-27.128819048192788</c:v>
                </c:pt>
                <c:pt idx="10">
                  <c:v>-17.305446763530941</c:v>
                </c:pt>
                <c:pt idx="11">
                  <c:v>-24.451894173867778</c:v>
                </c:pt>
                <c:pt idx="12">
                  <c:v>-19.194384662483152</c:v>
                </c:pt>
                <c:pt idx="13">
                  <c:v>-12.222943516673388</c:v>
                </c:pt>
                <c:pt idx="14">
                  <c:v>-19.636860075967082</c:v>
                </c:pt>
                <c:pt idx="15">
                  <c:v>-18.096571603752892</c:v>
                </c:pt>
                <c:pt idx="16">
                  <c:v>-17.102774411008287</c:v>
                </c:pt>
                <c:pt idx="17">
                  <c:v>-17.898120414679578</c:v>
                </c:pt>
                <c:pt idx="18">
                  <c:v>-14.055906117333025</c:v>
                </c:pt>
                <c:pt idx="19">
                  <c:v>-10.245825356437543</c:v>
                </c:pt>
                <c:pt idx="20">
                  <c:v>-9.9764704402874109</c:v>
                </c:pt>
                <c:pt idx="21">
                  <c:v>-8.9554878365747879</c:v>
                </c:pt>
                <c:pt idx="22">
                  <c:v>2.2805120970736854</c:v>
                </c:pt>
              </c:numCache>
            </c:numRef>
          </c:xVal>
          <c:yVal>
            <c:numRef>
              <c:f>'241-2__6 ракет'!$G$12:$G$34</c:f>
              <c:numCache>
                <c:formatCode>General</c:formatCode>
                <c:ptCount val="23"/>
                <c:pt idx="0">
                  <c:v>146.32365437516461</c:v>
                </c:pt>
                <c:pt idx="1">
                  <c:v>140.30928932907386</c:v>
                </c:pt>
                <c:pt idx="2">
                  <c:v>175.38661166134236</c:v>
                </c:pt>
                <c:pt idx="3">
                  <c:v>180.08967839236422</c:v>
                </c:pt>
                <c:pt idx="4">
                  <c:v>161.42494828163646</c:v>
                </c:pt>
                <c:pt idx="5">
                  <c:v>191.65547518559617</c:v>
                </c:pt>
                <c:pt idx="6">
                  <c:v>158.20797396516784</c:v>
                </c:pt>
                <c:pt idx="7">
                  <c:v>134.73094546987483</c:v>
                </c:pt>
                <c:pt idx="8">
                  <c:v>166.65683154619211</c:v>
                </c:pt>
                <c:pt idx="9">
                  <c:v>218.32092702498863</c:v>
                </c:pt>
                <c:pt idx="10">
                  <c:v>140.94155353306772</c:v>
                </c:pt>
                <c:pt idx="11">
                  <c:v>214.61152082614291</c:v>
                </c:pt>
                <c:pt idx="12">
                  <c:v>172.93806867612645</c:v>
                </c:pt>
                <c:pt idx="13">
                  <c:v>121.38615922661121</c:v>
                </c:pt>
                <c:pt idx="14">
                  <c:v>195.01382957717868</c:v>
                </c:pt>
                <c:pt idx="15">
                  <c:v>185.11756830779257</c:v>
                </c:pt>
                <c:pt idx="16">
                  <c:v>183.203425479564</c:v>
                </c:pt>
                <c:pt idx="17">
                  <c:v>201.20551007768557</c:v>
                </c:pt>
                <c:pt idx="18">
                  <c:v>163.39654679099164</c:v>
                </c:pt>
                <c:pt idx="19">
                  <c:v>149.64966776697295</c:v>
                </c:pt>
                <c:pt idx="20">
                  <c:v>155.68066687149715</c:v>
                </c:pt>
                <c:pt idx="21">
                  <c:v>175.77200925519671</c:v>
                </c:pt>
                <c:pt idx="22">
                  <c:v>195.98673236873739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'241-2__6 ракет'!$H$38:$H$61</c:f>
              <c:numCache>
                <c:formatCode>General</c:formatCode>
                <c:ptCount val="24"/>
                <c:pt idx="0">
                  <c:v>15.290788918072382</c:v>
                </c:pt>
                <c:pt idx="1">
                  <c:v>17.971550554098553</c:v>
                </c:pt>
                <c:pt idx="2">
                  <c:v>19.999194419531062</c:v>
                </c:pt>
                <c:pt idx="3">
                  <c:v>19.932078134874356</c:v>
                </c:pt>
                <c:pt idx="4">
                  <c:v>28.690666552795101</c:v>
                </c:pt>
                <c:pt idx="5">
                  <c:v>23.801019285967573</c:v>
                </c:pt>
                <c:pt idx="6">
                  <c:v>21.503792008073436</c:v>
                </c:pt>
                <c:pt idx="7">
                  <c:v>33.847572740761848</c:v>
                </c:pt>
                <c:pt idx="8">
                  <c:v>32.85502115110846</c:v>
                </c:pt>
                <c:pt idx="9">
                  <c:v>27.739947995098014</c:v>
                </c:pt>
                <c:pt idx="10">
                  <c:v>34.143991493926507</c:v>
                </c:pt>
                <c:pt idx="11">
                  <c:v>36.495005544359287</c:v>
                </c:pt>
                <c:pt idx="12">
                  <c:v>37.266350553175606</c:v>
                </c:pt>
                <c:pt idx="13">
                  <c:v>30.105626538615823</c:v>
                </c:pt>
                <c:pt idx="14">
                  <c:v>29.307526268869776</c:v>
                </c:pt>
                <c:pt idx="15">
                  <c:v>28.396704967367697</c:v>
                </c:pt>
                <c:pt idx="16">
                  <c:v>26.566326813621295</c:v>
                </c:pt>
                <c:pt idx="17">
                  <c:v>25.52030882235195</c:v>
                </c:pt>
                <c:pt idx="18">
                  <c:v>24.196905629786112</c:v>
                </c:pt>
                <c:pt idx="19">
                  <c:v>22.646102958667303</c:v>
                </c:pt>
                <c:pt idx="20">
                  <c:v>18.733872690181958</c:v>
                </c:pt>
                <c:pt idx="21">
                  <c:v>8.1358674667857613</c:v>
                </c:pt>
                <c:pt idx="22">
                  <c:v>3.2632087936920935</c:v>
                </c:pt>
                <c:pt idx="23">
                  <c:v>2.9316972681429432</c:v>
                </c:pt>
              </c:numCache>
            </c:numRef>
          </c:xVal>
          <c:yVal>
            <c:numRef>
              <c:f>'241-2__6 ракет'!$G$38:$G$61</c:f>
              <c:numCache>
                <c:formatCode>General</c:formatCode>
                <c:ptCount val="24"/>
                <c:pt idx="0">
                  <c:v>123.0536134140845</c:v>
                </c:pt>
                <c:pt idx="1">
                  <c:v>122.69076318403712</c:v>
                </c:pt>
                <c:pt idx="2">
                  <c:v>132.49917819582805</c:v>
                </c:pt>
                <c:pt idx="3">
                  <c:v>122.38754945346878</c:v>
                </c:pt>
                <c:pt idx="4">
                  <c:v>126.79450166610665</c:v>
                </c:pt>
                <c:pt idx="5">
                  <c:v>119.65580420919413</c:v>
                </c:pt>
                <c:pt idx="6">
                  <c:v>116.02407909254663</c:v>
                </c:pt>
                <c:pt idx="7">
                  <c:v>123.44367873471219</c:v>
                </c:pt>
                <c:pt idx="8">
                  <c:v>113.33378836498945</c:v>
                </c:pt>
                <c:pt idx="9">
                  <c:v>110.57348364426824</c:v>
                </c:pt>
                <c:pt idx="10">
                  <c:v>104.56666698744239</c:v>
                </c:pt>
                <c:pt idx="11">
                  <c:v>101.64700964768804</c:v>
                </c:pt>
                <c:pt idx="12">
                  <c:v>99.23315532848801</c:v>
                </c:pt>
                <c:pt idx="13">
                  <c:v>101.63489189602845</c:v>
                </c:pt>
                <c:pt idx="14">
                  <c:v>89.314438384840713</c:v>
                </c:pt>
                <c:pt idx="15">
                  <c:v>89.608186830201376</c:v>
                </c:pt>
                <c:pt idx="16">
                  <c:v>90.167789590473305</c:v>
                </c:pt>
                <c:pt idx="17">
                  <c:v>92.545739165084129</c:v>
                </c:pt>
                <c:pt idx="18">
                  <c:v>90.832316704701668</c:v>
                </c:pt>
                <c:pt idx="19">
                  <c:v>89.169243693021414</c:v>
                </c:pt>
                <c:pt idx="20">
                  <c:v>100.26485931784902</c:v>
                </c:pt>
                <c:pt idx="21">
                  <c:v>99.668488804450618</c:v>
                </c:pt>
                <c:pt idx="22">
                  <c:v>101.94778795230808</c:v>
                </c:pt>
                <c:pt idx="23">
                  <c:v>95.955224720324452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'241-2__6 ракет'!$J$12</c:f>
              <c:numCache>
                <c:formatCode>General</c:formatCode>
                <c:ptCount val="1"/>
                <c:pt idx="0">
                  <c:v>-21.532868066959718</c:v>
                </c:pt>
              </c:numCache>
            </c:numRef>
          </c:xVal>
          <c:yVal>
            <c:numRef>
              <c:f>'241-2__6 ракет'!$I$12</c:f>
              <c:numCache>
                <c:formatCode>General</c:formatCode>
                <c:ptCount val="1"/>
                <c:pt idx="0">
                  <c:v>170.78302582560718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'241-2__6 ракет'!$J$38</c:f>
              <c:numCache>
                <c:formatCode>General</c:formatCode>
                <c:ptCount val="1"/>
                <c:pt idx="0">
                  <c:v>23.722546982080203</c:v>
                </c:pt>
              </c:numCache>
            </c:numRef>
          </c:xVal>
          <c:yVal>
            <c:numRef>
              <c:f>'241-2__6 ракет'!$I$38</c:f>
              <c:numCache>
                <c:formatCode>General</c:formatCode>
                <c:ptCount val="1"/>
                <c:pt idx="0">
                  <c:v>106.54217662425573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'241-2__6 ракет'!$J$4</c:f>
              <c:numCache>
                <c:formatCode>General</c:formatCode>
                <c:ptCount val="1"/>
                <c:pt idx="0">
                  <c:v>-19.89176255702888</c:v>
                </c:pt>
              </c:numCache>
            </c:numRef>
          </c:xVal>
          <c:yVal>
            <c:numRef>
              <c:f>'241-2__6 ракет'!$I$4</c:f>
              <c:numCache>
                <c:formatCode>General</c:formatCode>
                <c:ptCount val="1"/>
                <c:pt idx="0">
                  <c:v>85.121985949097919</c:v>
                </c:pt>
              </c:numCache>
            </c:numRef>
          </c:yVal>
        </c:ser>
        <c:ser>
          <c:idx val="5"/>
          <c:order val="5"/>
          <c:tx>
            <c:v>КОБЭ 3</c:v>
          </c:tx>
          <c:spPr>
            <a:ln w="28575">
              <a:noFill/>
            </a:ln>
          </c:spPr>
          <c:marker>
            <c:symbol val="circle"/>
            <c:size val="12"/>
          </c:marker>
          <c:xVal>
            <c:numRef>
              <c:f>'241-2__6 ракет'!$H$64:$H$83</c:f>
              <c:numCache>
                <c:formatCode>General</c:formatCode>
                <c:ptCount val="20"/>
                <c:pt idx="0">
                  <c:v>2.4952260316098429</c:v>
                </c:pt>
                <c:pt idx="1">
                  <c:v>5.3138181663088684</c:v>
                </c:pt>
                <c:pt idx="2">
                  <c:v>9.5377343095005944</c:v>
                </c:pt>
                <c:pt idx="3">
                  <c:v>14.493866525741161</c:v>
                </c:pt>
                <c:pt idx="4">
                  <c:v>17.484193242147409</c:v>
                </c:pt>
                <c:pt idx="5">
                  <c:v>18.117333157176454</c:v>
                </c:pt>
                <c:pt idx="6">
                  <c:v>20.735250918160958</c:v>
                </c:pt>
                <c:pt idx="7">
                  <c:v>27.746587162256233</c:v>
                </c:pt>
                <c:pt idx="8">
                  <c:v>29.821303673002014</c:v>
                </c:pt>
                <c:pt idx="9">
                  <c:v>30.560523137146539</c:v>
                </c:pt>
                <c:pt idx="10">
                  <c:v>32.272825142839523</c:v>
                </c:pt>
                <c:pt idx="11">
                  <c:v>55.913341954626112</c:v>
                </c:pt>
                <c:pt idx="12">
                  <c:v>57.689253728692883</c:v>
                </c:pt>
                <c:pt idx="13">
                  <c:v>-6.4389565566822728</c:v>
                </c:pt>
                <c:pt idx="14">
                  <c:v>-11.690069670583936</c:v>
                </c:pt>
                <c:pt idx="15">
                  <c:v>31.775464319539161</c:v>
                </c:pt>
                <c:pt idx="16">
                  <c:v>33.623542102300171</c:v>
                </c:pt>
                <c:pt idx="17">
                  <c:v>45.028628097698714</c:v>
                </c:pt>
                <c:pt idx="18">
                  <c:v>47.566283116803902</c:v>
                </c:pt>
                <c:pt idx="19">
                  <c:v>49.936606603336649</c:v>
                </c:pt>
              </c:numCache>
            </c:numRef>
          </c:xVal>
          <c:yVal>
            <c:numRef>
              <c:f>'241-2__6 ракет'!$G$64:$G$83</c:f>
              <c:numCache>
                <c:formatCode>General</c:formatCode>
                <c:ptCount val="20"/>
                <c:pt idx="0">
                  <c:v>65.95281530800014</c:v>
                </c:pt>
                <c:pt idx="1">
                  <c:v>61.771865250252937</c:v>
                </c:pt>
                <c:pt idx="2">
                  <c:v>89.49319317267306</c:v>
                </c:pt>
                <c:pt idx="3">
                  <c:v>54.091846272187823</c:v>
                </c:pt>
                <c:pt idx="4">
                  <c:v>71.904818939145144</c:v>
                </c:pt>
                <c:pt idx="5">
                  <c:v>67.614807840234775</c:v>
                </c:pt>
                <c:pt idx="6">
                  <c:v>75.193413071630857</c:v>
                </c:pt>
                <c:pt idx="7">
                  <c:v>66.438895993591871</c:v>
                </c:pt>
                <c:pt idx="8">
                  <c:v>54.357058853865489</c:v>
                </c:pt>
                <c:pt idx="9">
                  <c:v>58.498328399911834</c:v>
                </c:pt>
                <c:pt idx="10">
                  <c:v>59.853694600247572</c:v>
                </c:pt>
                <c:pt idx="11">
                  <c:v>75.562544898018416</c:v>
                </c:pt>
                <c:pt idx="12">
                  <c:v>71.665542656331681</c:v>
                </c:pt>
                <c:pt idx="13">
                  <c:v>33.384724627607135</c:v>
                </c:pt>
                <c:pt idx="14">
                  <c:v>36.157188373778368</c:v>
                </c:pt>
                <c:pt idx="15">
                  <c:v>41.162116895000601</c:v>
                </c:pt>
                <c:pt idx="16">
                  <c:v>28.380581679994648</c:v>
                </c:pt>
                <c:pt idx="17">
                  <c:v>61.224363219547968</c:v>
                </c:pt>
                <c:pt idx="18">
                  <c:v>56.687288790804374</c:v>
                </c:pt>
                <c:pt idx="19">
                  <c:v>33.261619337362312</c:v>
                </c:pt>
              </c:numCache>
            </c:numRef>
          </c:yVal>
        </c:ser>
        <c:ser>
          <c:idx val="6"/>
          <c:order val="6"/>
          <c:tx>
            <c:v>КОБЭ 4</c:v>
          </c:tx>
          <c:spPr>
            <a:ln w="28575">
              <a:noFill/>
            </a:ln>
          </c:spPr>
          <c:marker>
            <c:symbol val="circle"/>
            <c:size val="12"/>
            <c:spPr>
              <a:solidFill>
                <a:schemeClr val="accent3">
                  <a:lumMod val="50000"/>
                </a:schemeClr>
              </a:solidFill>
            </c:spPr>
          </c:marker>
          <c:xVal>
            <c:numRef>
              <c:f>'241-2__6 ракет'!$H$90:$H$105</c:f>
              <c:numCache>
                <c:formatCode>General</c:formatCode>
                <c:ptCount val="16"/>
                <c:pt idx="0">
                  <c:v>68.859786287010138</c:v>
                </c:pt>
                <c:pt idx="1">
                  <c:v>79.413372870461458</c:v>
                </c:pt>
                <c:pt idx="2">
                  <c:v>79.817099193756761</c:v>
                </c:pt>
                <c:pt idx="3">
                  <c:v>80.287916678759345</c:v>
                </c:pt>
                <c:pt idx="4">
                  <c:v>84.559922050500091</c:v>
                </c:pt>
                <c:pt idx="5">
                  <c:v>85.873273018404475</c:v>
                </c:pt>
                <c:pt idx="6">
                  <c:v>86.259736335650857</c:v>
                </c:pt>
                <c:pt idx="7">
                  <c:v>90.810761911325429</c:v>
                </c:pt>
                <c:pt idx="8">
                  <c:v>93.912978822289702</c:v>
                </c:pt>
                <c:pt idx="9">
                  <c:v>94.635972171160489</c:v>
                </c:pt>
                <c:pt idx="10">
                  <c:v>94.808340228893329</c:v>
                </c:pt>
                <c:pt idx="11">
                  <c:v>99.963395752638178</c:v>
                </c:pt>
                <c:pt idx="12">
                  <c:v>100.94886608189175</c:v>
                </c:pt>
                <c:pt idx="13">
                  <c:v>103.12181132464001</c:v>
                </c:pt>
                <c:pt idx="14">
                  <c:v>108.19598097389607</c:v>
                </c:pt>
                <c:pt idx="15">
                  <c:v>112.15135914052922</c:v>
                </c:pt>
              </c:numCache>
            </c:numRef>
          </c:xVal>
          <c:yVal>
            <c:numRef>
              <c:f>'241-2__6 ракет'!$G$90:$G$105</c:f>
              <c:numCache>
                <c:formatCode>General</c:formatCode>
                <c:ptCount val="16"/>
                <c:pt idx="0">
                  <c:v>57.951098630718725</c:v>
                </c:pt>
                <c:pt idx="1">
                  <c:v>73.195055907739118</c:v>
                </c:pt>
                <c:pt idx="2">
                  <c:v>18.794432055637987</c:v>
                </c:pt>
                <c:pt idx="3">
                  <c:v>30.819643660895832</c:v>
                </c:pt>
                <c:pt idx="4">
                  <c:v>15.672255192324661</c:v>
                </c:pt>
                <c:pt idx="5">
                  <c:v>38.233244449125216</c:v>
                </c:pt>
                <c:pt idx="6">
                  <c:v>46.510836235268812</c:v>
                </c:pt>
                <c:pt idx="7">
                  <c:v>84.435807102701204</c:v>
                </c:pt>
                <c:pt idx="8">
                  <c:v>74.701756396514313</c:v>
                </c:pt>
                <c:pt idx="9">
                  <c:v>43.128097236248848</c:v>
                </c:pt>
                <c:pt idx="10">
                  <c:v>59.626995757311192</c:v>
                </c:pt>
                <c:pt idx="11">
                  <c:v>95.13842288792388</c:v>
                </c:pt>
                <c:pt idx="12">
                  <c:v>48.511096017099888</c:v>
                </c:pt>
                <c:pt idx="13">
                  <c:v>57.357580398107345</c:v>
                </c:pt>
                <c:pt idx="14">
                  <c:v>72.066841897618332</c:v>
                </c:pt>
                <c:pt idx="15">
                  <c:v>87.098063370731921</c:v>
                </c:pt>
              </c:numCache>
            </c:numRef>
          </c:yVal>
        </c:ser>
        <c:ser>
          <c:idx val="7"/>
          <c:order val="7"/>
          <c:tx>
            <c:v>ЦР3</c:v>
          </c:tx>
          <c:spPr>
            <a:ln w="28575">
              <a:noFill/>
            </a:ln>
          </c:spPr>
          <c:marker>
            <c:symbol val="circle"/>
            <c:size val="20"/>
            <c:spPr>
              <a:gradFill flip="none" rotWithShape="1"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8100000" scaled="1"/>
                <a:tileRect/>
              </a:gradFill>
            </c:spPr>
          </c:marker>
          <c:xVal>
            <c:numRef>
              <c:f>'241-2__6 ракет'!$J$64</c:f>
              <c:numCache>
                <c:formatCode>General</c:formatCode>
                <c:ptCount val="1"/>
                <c:pt idx="0">
                  <c:v>25.599137758081049</c:v>
                </c:pt>
              </c:numCache>
            </c:numRef>
          </c:xVal>
          <c:yVal>
            <c:numRef>
              <c:f>'241-2__6 ракет'!$I$64</c:f>
              <c:numCache>
                <c:formatCode>General</c:formatCode>
                <c:ptCount val="1"/>
                <c:pt idx="0">
                  <c:v>58.13283540900936</c:v>
                </c:pt>
              </c:numCache>
            </c:numRef>
          </c:yVal>
        </c:ser>
        <c:ser>
          <c:idx val="8"/>
          <c:order val="8"/>
          <c:tx>
            <c:v>ЦР4</c:v>
          </c:tx>
          <c:spPr>
            <a:ln w="28575">
              <a:noFill/>
            </a:ln>
          </c:spPr>
          <c:marker>
            <c:symbol val="circle"/>
            <c:size val="20"/>
            <c:spPr>
              <a:gradFill flip="none" rotWithShape="1">
                <a:gsLst>
                  <a:gs pos="0">
                    <a:srgbClr val="DDEBCF"/>
                  </a:gs>
                  <a:gs pos="50000">
                    <a:srgbClr val="9CB86E"/>
                  </a:gs>
                  <a:gs pos="100000">
                    <a:srgbClr val="156B13"/>
                  </a:gs>
                </a:gsLst>
                <a:lin ang="0" scaled="1"/>
                <a:tileRect/>
              </a:gradFill>
            </c:spPr>
          </c:marker>
          <c:xVal>
            <c:numRef>
              <c:f>'241-2__6 ракет'!$J$90</c:f>
              <c:numCache>
                <c:formatCode>General</c:formatCode>
                <c:ptCount val="1"/>
                <c:pt idx="0">
                  <c:v>91.476285802612949</c:v>
                </c:pt>
              </c:numCache>
            </c:numRef>
          </c:xVal>
          <c:yVal>
            <c:numRef>
              <c:f>'241-2__6 ракет'!$I$90</c:f>
              <c:numCache>
                <c:formatCode>General</c:formatCode>
                <c:ptCount val="1"/>
                <c:pt idx="0">
                  <c:v>56.452576699747951</c:v>
                </c:pt>
              </c:numCache>
            </c:numRef>
          </c:yVal>
        </c:ser>
        <c:ser>
          <c:idx val="9"/>
          <c:order val="9"/>
          <c:tx>
            <c:v>КОБЭ 5</c:v>
          </c:tx>
          <c:spPr>
            <a:ln w="28575">
              <a:noFill/>
            </a:ln>
          </c:spPr>
          <c:marker>
            <c:symbol val="circle"/>
            <c:size val="12"/>
          </c:marker>
          <c:xVal>
            <c:numRef>
              <c:f>'241-2__6 ракет'!$AH$12:$AH$27</c:f>
              <c:numCache>
                <c:formatCode>General</c:formatCode>
                <c:ptCount val="16"/>
                <c:pt idx="0">
                  <c:v>-121.71506311713799</c:v>
                </c:pt>
                <c:pt idx="1">
                  <c:v>-113.5064701340777</c:v>
                </c:pt>
                <c:pt idx="2">
                  <c:v>-127.51292135574343</c:v>
                </c:pt>
                <c:pt idx="3">
                  <c:v>-120.41355672034828</c:v>
                </c:pt>
                <c:pt idx="4">
                  <c:v>-109.20227333066808</c:v>
                </c:pt>
                <c:pt idx="5">
                  <c:v>-114.93693903915002</c:v>
                </c:pt>
                <c:pt idx="6">
                  <c:v>-119.24603559197476</c:v>
                </c:pt>
                <c:pt idx="7">
                  <c:v>-127.45238453914996</c:v>
                </c:pt>
                <c:pt idx="8">
                  <c:v>-141.65837518008735</c:v>
                </c:pt>
                <c:pt idx="9">
                  <c:v>-118.60966795170626</c:v>
                </c:pt>
                <c:pt idx="10">
                  <c:v>-112.07538747361656</c:v>
                </c:pt>
                <c:pt idx="11">
                  <c:v>-118.45128269795822</c:v>
                </c:pt>
                <c:pt idx="12">
                  <c:v>-122.65173820200593</c:v>
                </c:pt>
                <c:pt idx="13">
                  <c:v>-124.72017011637685</c:v>
                </c:pt>
                <c:pt idx="14">
                  <c:v>-117.41736272164395</c:v>
                </c:pt>
                <c:pt idx="15">
                  <c:v>-123.42452847251249</c:v>
                </c:pt>
              </c:numCache>
            </c:numRef>
          </c:xVal>
          <c:yVal>
            <c:numRef>
              <c:f>'241-2__6 ракет'!$AG$12:$AG$27</c:f>
              <c:numCache>
                <c:formatCode>General</c:formatCode>
                <c:ptCount val="16"/>
                <c:pt idx="0">
                  <c:v>8.3332712899026227</c:v>
                </c:pt>
                <c:pt idx="1">
                  <c:v>10.596284145950674</c:v>
                </c:pt>
                <c:pt idx="2">
                  <c:v>11.155935071700242</c:v>
                </c:pt>
                <c:pt idx="3">
                  <c:v>19.610593003666811</c:v>
                </c:pt>
                <c:pt idx="4">
                  <c:v>24.876967247115569</c:v>
                </c:pt>
                <c:pt idx="5">
                  <c:v>26.711421607819972</c:v>
                </c:pt>
                <c:pt idx="6">
                  <c:v>34.005631821765746</c:v>
                </c:pt>
                <c:pt idx="7">
                  <c:v>34.349522198782431</c:v>
                </c:pt>
                <c:pt idx="8">
                  <c:v>42.859126698261278</c:v>
                </c:pt>
                <c:pt idx="9">
                  <c:v>48.122205564437557</c:v>
                </c:pt>
                <c:pt idx="10">
                  <c:v>53.057586852765098</c:v>
                </c:pt>
                <c:pt idx="11">
                  <c:v>53.565787842692849</c:v>
                </c:pt>
                <c:pt idx="12">
                  <c:v>53.968056441070765</c:v>
                </c:pt>
                <c:pt idx="13">
                  <c:v>54.22987337383352</c:v>
                </c:pt>
                <c:pt idx="14">
                  <c:v>55.795725028839776</c:v>
                </c:pt>
                <c:pt idx="15">
                  <c:v>57.117298354683705</c:v>
                </c:pt>
              </c:numCache>
            </c:numRef>
          </c:yVal>
        </c:ser>
        <c:ser>
          <c:idx val="10"/>
          <c:order val="10"/>
          <c:tx>
            <c:v>КОБЭ НАР 6</c:v>
          </c:tx>
          <c:spPr>
            <a:ln w="28575">
              <a:noFill/>
            </a:ln>
          </c:spPr>
          <c:marker>
            <c:symbol val="square"/>
            <c:size val="12"/>
            <c:spPr>
              <a:gradFill>
                <a:gsLst>
                  <a:gs pos="0">
                    <a:srgbClr val="825600"/>
                  </a:gs>
                  <a:gs pos="13000">
                    <a:srgbClr val="FFA800"/>
                  </a:gs>
                  <a:gs pos="28000">
                    <a:srgbClr val="825600"/>
                  </a:gs>
                  <a:gs pos="42999">
                    <a:srgbClr val="FFA800"/>
                  </a:gs>
                  <a:gs pos="58000">
                    <a:srgbClr val="825600"/>
                  </a:gs>
                  <a:gs pos="72000">
                    <a:srgbClr val="FFA800"/>
                  </a:gs>
                  <a:gs pos="87000">
                    <a:srgbClr val="825600"/>
                  </a:gs>
                  <a:gs pos="100000">
                    <a:srgbClr val="FFA800"/>
                  </a:gs>
                </a:gsLst>
                <a:lin ang="5400000" scaled="0"/>
              </a:gradFill>
            </c:spPr>
          </c:marker>
          <c:xVal>
            <c:numRef>
              <c:f>'241-2__6 ракет'!$AH$38:$AH$61</c:f>
              <c:numCache>
                <c:formatCode>General</c:formatCode>
                <c:ptCount val="24"/>
                <c:pt idx="0">
                  <c:v>-120.41214558803969</c:v>
                </c:pt>
                <c:pt idx="1">
                  <c:v>-118.12146604359631</c:v>
                </c:pt>
                <c:pt idx="2">
                  <c:v>-120.73908300371426</c:v>
                </c:pt>
                <c:pt idx="3">
                  <c:v>-121.3536560554352</c:v>
                </c:pt>
                <c:pt idx="4">
                  <c:v>-110.31039980913283</c:v>
                </c:pt>
                <c:pt idx="5">
                  <c:v>-109.94437032330427</c:v>
                </c:pt>
                <c:pt idx="6">
                  <c:v>-110.09079184140496</c:v>
                </c:pt>
                <c:pt idx="7">
                  <c:v>-118.22335462661441</c:v>
                </c:pt>
                <c:pt idx="8">
                  <c:v>-112.54850169474014</c:v>
                </c:pt>
                <c:pt idx="9">
                  <c:v>-106.18339490466774</c:v>
                </c:pt>
                <c:pt idx="10">
                  <c:v>-104.77390125824007</c:v>
                </c:pt>
                <c:pt idx="11">
                  <c:v>-110.59983472523099</c:v>
                </c:pt>
                <c:pt idx="12">
                  <c:v>-98.070536995300486</c:v>
                </c:pt>
                <c:pt idx="13">
                  <c:v>-101.09418288723755</c:v>
                </c:pt>
                <c:pt idx="14">
                  <c:v>-90.687859000777138</c:v>
                </c:pt>
                <c:pt idx="15">
                  <c:v>-117.33608696548185</c:v>
                </c:pt>
                <c:pt idx="16">
                  <c:v>-147.89837257463333</c:v>
                </c:pt>
                <c:pt idx="17">
                  <c:v>-130.66064642240926</c:v>
                </c:pt>
                <c:pt idx="18">
                  <c:v>-125.25566100386985</c:v>
                </c:pt>
                <c:pt idx="19">
                  <c:v>-123.92741854393897</c:v>
                </c:pt>
                <c:pt idx="20">
                  <c:v>-137.67173945929093</c:v>
                </c:pt>
                <c:pt idx="21">
                  <c:v>-129.16185813160072</c:v>
                </c:pt>
                <c:pt idx="22">
                  <c:v>-135.28323636021</c:v>
                </c:pt>
                <c:pt idx="23">
                  <c:v>-126.93653444659759</c:v>
                </c:pt>
              </c:numCache>
            </c:numRef>
          </c:xVal>
          <c:yVal>
            <c:numRef>
              <c:f>'241-2__6 ракет'!$AG$38:$AG$61</c:f>
              <c:numCache>
                <c:formatCode>General</c:formatCode>
                <c:ptCount val="24"/>
                <c:pt idx="0">
                  <c:v>114.26685956516323</c:v>
                </c:pt>
                <c:pt idx="1">
                  <c:v>107.92274672056641</c:v>
                </c:pt>
                <c:pt idx="2">
                  <c:v>101.91208875998076</c:v>
                </c:pt>
                <c:pt idx="3">
                  <c:v>94.811867200151383</c:v>
                </c:pt>
                <c:pt idx="4">
                  <c:v>92.561415794861674</c:v>
                </c:pt>
                <c:pt idx="5">
                  <c:v>86.673152903376774</c:v>
                </c:pt>
                <c:pt idx="6">
                  <c:v>83.210681716546716</c:v>
                </c:pt>
                <c:pt idx="7">
                  <c:v>63.081204972874197</c:v>
                </c:pt>
                <c:pt idx="8">
                  <c:v>68.9698105425053</c:v>
                </c:pt>
                <c:pt idx="9">
                  <c:v>60.075674332623038</c:v>
                </c:pt>
                <c:pt idx="10">
                  <c:v>66.32065752937433</c:v>
                </c:pt>
                <c:pt idx="11">
                  <c:v>72.053289714985183</c:v>
                </c:pt>
                <c:pt idx="12">
                  <c:v>72.568379983663675</c:v>
                </c:pt>
                <c:pt idx="13">
                  <c:v>78.510930362349967</c:v>
                </c:pt>
                <c:pt idx="14">
                  <c:v>84.567796647749816</c:v>
                </c:pt>
                <c:pt idx="15">
                  <c:v>55.966442585078411</c:v>
                </c:pt>
                <c:pt idx="16">
                  <c:v>66.106515486561108</c:v>
                </c:pt>
                <c:pt idx="17">
                  <c:v>73.673573800095724</c:v>
                </c:pt>
                <c:pt idx="18">
                  <c:v>75.013461368501339</c:v>
                </c:pt>
                <c:pt idx="19">
                  <c:v>77.188049159409189</c:v>
                </c:pt>
                <c:pt idx="20">
                  <c:v>89.120660647535132</c:v>
                </c:pt>
                <c:pt idx="21">
                  <c:v>91.001178036288337</c:v>
                </c:pt>
                <c:pt idx="22">
                  <c:v>96.200030976645508</c:v>
                </c:pt>
                <c:pt idx="23">
                  <c:v>97.401828641395355</c:v>
                </c:pt>
              </c:numCache>
            </c:numRef>
          </c:yVal>
        </c:ser>
        <c:ser>
          <c:idx val="11"/>
          <c:order val="11"/>
          <c:tx>
            <c:v>ЦР5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00000"/>
                  </a:gs>
                  <a:gs pos="39999">
                    <a:srgbClr val="0A128C"/>
                  </a:gs>
                  <a:gs pos="70000">
                    <a:srgbClr val="181CC7"/>
                  </a:gs>
                  <a:gs pos="88000">
                    <a:srgbClr val="7005D4"/>
                  </a:gs>
                  <a:gs pos="100000">
                    <a:srgbClr val="8C3D91"/>
                  </a:gs>
                </a:gsLst>
                <a:lin ang="5400000" scaled="0"/>
              </a:gradFill>
            </c:spPr>
          </c:marker>
          <c:xVal>
            <c:numRef>
              <c:f>'241-2__6 ракет'!$AJ$12</c:f>
              <c:numCache>
                <c:formatCode>General</c:formatCode>
                <c:ptCount val="1"/>
                <c:pt idx="0">
                  <c:v>-120.81213479025988</c:v>
                </c:pt>
              </c:numCache>
            </c:numRef>
          </c:xVal>
          <c:yVal>
            <c:numRef>
              <c:f>'241-2__6 ракет'!$AI$12</c:f>
              <c:numCache>
                <c:formatCode>General</c:formatCode>
                <c:ptCount val="1"/>
                <c:pt idx="0">
                  <c:v>36.772205408955536</c:v>
                </c:pt>
              </c:numCache>
            </c:numRef>
          </c:yVal>
        </c:ser>
        <c:ser>
          <c:idx val="12"/>
          <c:order val="12"/>
          <c:tx>
            <c:v>ЦР6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825600"/>
                  </a:gs>
                  <a:gs pos="13000">
                    <a:srgbClr val="FFA800"/>
                  </a:gs>
                  <a:gs pos="28000">
                    <a:srgbClr val="825600"/>
                  </a:gs>
                  <a:gs pos="42999">
                    <a:srgbClr val="FFA800"/>
                  </a:gs>
                  <a:gs pos="58000">
                    <a:srgbClr val="825600"/>
                  </a:gs>
                  <a:gs pos="72000">
                    <a:srgbClr val="FFA800"/>
                  </a:gs>
                  <a:gs pos="87000">
                    <a:srgbClr val="825600"/>
                  </a:gs>
                  <a:gs pos="100000">
                    <a:srgbClr val="FFA800"/>
                  </a:gs>
                </a:gsLst>
                <a:lin ang="5400000" scaled="0"/>
              </a:gradFill>
            </c:spPr>
          </c:marker>
          <c:xVal>
            <c:numRef>
              <c:f>'241-2__6 ракет'!$AJ$38</c:f>
              <c:numCache>
                <c:formatCode>General</c:formatCode>
                <c:ptCount val="1"/>
                <c:pt idx="0">
                  <c:v>-117.80354302772788</c:v>
                </c:pt>
              </c:numCache>
            </c:numRef>
          </c:xVal>
          <c:yVal>
            <c:numRef>
              <c:f>'241-2__6 ракет'!$AI$38</c:f>
              <c:numCache>
                <c:formatCode>General</c:formatCode>
                <c:ptCount val="1"/>
                <c:pt idx="0">
                  <c:v>82.049095727011775</c:v>
                </c:pt>
              </c:numCache>
            </c:numRef>
          </c:yVal>
        </c:ser>
        <c:axId val="81740544"/>
        <c:axId val="81742080"/>
      </c:scatterChart>
      <c:valAx>
        <c:axId val="81740544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1742080"/>
        <c:crosses val="autoZero"/>
        <c:crossBetween val="midCat"/>
      </c:valAx>
      <c:valAx>
        <c:axId val="8174208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1740544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'242-1'!$H$12:$H$32</c:f>
              <c:numCache>
                <c:formatCode>General</c:formatCode>
                <c:ptCount val="21"/>
                <c:pt idx="0">
                  <c:v>86.526431865628012</c:v>
                </c:pt>
                <c:pt idx="1">
                  <c:v>96.099809167230845</c:v>
                </c:pt>
                <c:pt idx="2">
                  <c:v>104.41217615991425</c:v>
                </c:pt>
                <c:pt idx="3">
                  <c:v>111.69048544506275</c:v>
                </c:pt>
                <c:pt idx="4">
                  <c:v>111.5431815925071</c:v>
                </c:pt>
                <c:pt idx="5">
                  <c:v>105.90572430959227</c:v>
                </c:pt>
                <c:pt idx="6">
                  <c:v>97.954291901997863</c:v>
                </c:pt>
                <c:pt idx="7">
                  <c:v>97.761276925462766</c:v>
                </c:pt>
                <c:pt idx="8">
                  <c:v>117.16178174103604</c:v>
                </c:pt>
                <c:pt idx="9">
                  <c:v>112.09105946229081</c:v>
                </c:pt>
                <c:pt idx="10">
                  <c:v>109.9075538525413</c:v>
                </c:pt>
                <c:pt idx="11">
                  <c:v>107.37234190041856</c:v>
                </c:pt>
                <c:pt idx="12">
                  <c:v>93.720073198024195</c:v>
                </c:pt>
                <c:pt idx="13">
                  <c:v>89.687274153268831</c:v>
                </c:pt>
                <c:pt idx="14">
                  <c:v>86.330862373857428</c:v>
                </c:pt>
                <c:pt idx="15">
                  <c:v>93.104127391455762</c:v>
                </c:pt>
                <c:pt idx="16">
                  <c:v>109.99255388041384</c:v>
                </c:pt>
                <c:pt idx="17">
                  <c:v>111.95723782031396</c:v>
                </c:pt>
                <c:pt idx="18">
                  <c:v>89.925379046074909</c:v>
                </c:pt>
                <c:pt idx="19">
                  <c:v>103.07034212876947</c:v>
                </c:pt>
                <c:pt idx="20">
                  <c:v>88.492941680755919</c:v>
                </c:pt>
              </c:numCache>
            </c:numRef>
          </c:xVal>
          <c:yVal>
            <c:numRef>
              <c:f>'242-1'!$G$12:$G$32</c:f>
              <c:numCache>
                <c:formatCode>General</c:formatCode>
                <c:ptCount val="21"/>
                <c:pt idx="0">
                  <c:v>16.036726243308955</c:v>
                </c:pt>
                <c:pt idx="1">
                  <c:v>34.188107260008039</c:v>
                </c:pt>
                <c:pt idx="2">
                  <c:v>45.761309744707198</c:v>
                </c:pt>
                <c:pt idx="3">
                  <c:v>31.324678147528122</c:v>
                </c:pt>
                <c:pt idx="4">
                  <c:v>23.539724726958561</c:v>
                </c:pt>
                <c:pt idx="5">
                  <c:v>4.469626210393332</c:v>
                </c:pt>
                <c:pt idx="6">
                  <c:v>2.9927742945627016</c:v>
                </c:pt>
                <c:pt idx="7">
                  <c:v>-6.836134426924307</c:v>
                </c:pt>
                <c:pt idx="8">
                  <c:v>-14.039832593939016</c:v>
                </c:pt>
                <c:pt idx="9">
                  <c:v>-20.774849906104848</c:v>
                </c:pt>
                <c:pt idx="10">
                  <c:v>-48.1697997312708</c:v>
                </c:pt>
                <c:pt idx="11">
                  <c:v>-86.690138971048043</c:v>
                </c:pt>
                <c:pt idx="12">
                  <c:v>-71.697614184552805</c:v>
                </c:pt>
                <c:pt idx="13">
                  <c:v>-44.228869021900138</c:v>
                </c:pt>
                <c:pt idx="14">
                  <c:v>-25.435844821552287</c:v>
                </c:pt>
                <c:pt idx="15">
                  <c:v>-12.946870767702029</c:v>
                </c:pt>
                <c:pt idx="16">
                  <c:v>1.2798792381537127</c:v>
                </c:pt>
                <c:pt idx="17">
                  <c:v>3.094656628070934</c:v>
                </c:pt>
                <c:pt idx="18">
                  <c:v>3.6641784099236885</c:v>
                </c:pt>
                <c:pt idx="19">
                  <c:v>13.874601740533354</c:v>
                </c:pt>
                <c:pt idx="20">
                  <c:v>16.401197294293251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strRef>
              <c:f>'242-1'!$H$38:$H$61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xVal>
          <c:yVal>
            <c:numRef>
              <c:f>'242-1'!$G$38:$G$61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'242-1'!$J$12</c:f>
              <c:numCache>
                <c:formatCode>General</c:formatCode>
                <c:ptCount val="1"/>
                <c:pt idx="0">
                  <c:v>101.17651933317224</c:v>
                </c:pt>
              </c:numCache>
            </c:numRef>
          </c:xVal>
          <c:yVal>
            <c:numRef>
              <c:f>'242-1'!$I$12</c:f>
              <c:numCache>
                <c:formatCode>General</c:formatCode>
                <c:ptCount val="1"/>
                <c:pt idx="0">
                  <c:v>-6.3901187850739252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'242-1'!$J$38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'242-1'!$I$38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'242-1'!$J$4</c:f>
              <c:numCache>
                <c:formatCode>General</c:formatCode>
                <c:ptCount val="1"/>
                <c:pt idx="0">
                  <c:v>101.17651933317224</c:v>
                </c:pt>
              </c:numCache>
            </c:numRef>
          </c:xVal>
          <c:yVal>
            <c:numRef>
              <c:f>'242-1'!$I$4</c:f>
              <c:numCache>
                <c:formatCode>General</c:formatCode>
                <c:ptCount val="1"/>
                <c:pt idx="0">
                  <c:v>-6.3901187850739252</c:v>
                </c:pt>
              </c:numCache>
            </c:numRef>
          </c:yVal>
        </c:ser>
        <c:axId val="84603264"/>
        <c:axId val="84605568"/>
      </c:scatterChart>
      <c:valAx>
        <c:axId val="84603264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4605568"/>
        <c:crosses val="autoZero"/>
        <c:crossBetween val="midCat"/>
      </c:valAx>
      <c:valAx>
        <c:axId val="84605568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4603264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'242-2'!$H$12:$H$34</c:f>
              <c:numCache>
                <c:formatCode>General</c:formatCode>
                <c:ptCount val="23"/>
                <c:pt idx="0">
                  <c:v>-43.752227773306828</c:v>
                </c:pt>
                <c:pt idx="1">
                  <c:v>-52.787923501161984</c:v>
                </c:pt>
                <c:pt idx="2">
                  <c:v>-55.960287629691344</c:v>
                </c:pt>
                <c:pt idx="3">
                  <c:v>-46.44805398634972</c:v>
                </c:pt>
                <c:pt idx="4">
                  <c:v>-40.062690634553043</c:v>
                </c:pt>
                <c:pt idx="5">
                  <c:v>-41.66772750293687</c:v>
                </c:pt>
                <c:pt idx="6">
                  <c:v>-37.544001649074971</c:v>
                </c:pt>
                <c:pt idx="7">
                  <c:v>-33.578473038851449</c:v>
                </c:pt>
                <c:pt idx="8">
                  <c:v>-19.627732590587495</c:v>
                </c:pt>
                <c:pt idx="9">
                  <c:v>-20.136932040861787</c:v>
                </c:pt>
                <c:pt idx="10">
                  <c:v>-46.102360242073843</c:v>
                </c:pt>
                <c:pt idx="11">
                  <c:v>-54.426026160612324</c:v>
                </c:pt>
                <c:pt idx="12">
                  <c:v>-60.327182577398723</c:v>
                </c:pt>
                <c:pt idx="13">
                  <c:v>-41.010797597981345</c:v>
                </c:pt>
                <c:pt idx="14">
                  <c:v>-48.467088460760422</c:v>
                </c:pt>
                <c:pt idx="15">
                  <c:v>-48.793173630032939</c:v>
                </c:pt>
                <c:pt idx="16">
                  <c:v>-55.181025305706235</c:v>
                </c:pt>
                <c:pt idx="17">
                  <c:v>-42.233122142624438</c:v>
                </c:pt>
                <c:pt idx="18">
                  <c:v>-25.410932332576099</c:v>
                </c:pt>
                <c:pt idx="19">
                  <c:v>-104.07208894653128</c:v>
                </c:pt>
                <c:pt idx="20">
                  <c:v>-40.697854609566569</c:v>
                </c:pt>
                <c:pt idx="21">
                  <c:v>-39.231411216129217</c:v>
                </c:pt>
                <c:pt idx="22">
                  <c:v>-25.645095898926307</c:v>
                </c:pt>
              </c:numCache>
            </c:numRef>
          </c:xVal>
          <c:yVal>
            <c:numRef>
              <c:f>'242-2'!$G$12:$G$34</c:f>
              <c:numCache>
                <c:formatCode>General</c:formatCode>
                <c:ptCount val="23"/>
                <c:pt idx="0">
                  <c:v>4.6628923290891819</c:v>
                </c:pt>
                <c:pt idx="1">
                  <c:v>18.693184117091182</c:v>
                </c:pt>
                <c:pt idx="2">
                  <c:v>26.691688002114319</c:v>
                </c:pt>
                <c:pt idx="3">
                  <c:v>27.54229984734647</c:v>
                </c:pt>
                <c:pt idx="4">
                  <c:v>29.916230028532937</c:v>
                </c:pt>
                <c:pt idx="5">
                  <c:v>34.348223894999265</c:v>
                </c:pt>
                <c:pt idx="6">
                  <c:v>33.021931199950373</c:v>
                </c:pt>
                <c:pt idx="7">
                  <c:v>21.736746499398812</c:v>
                </c:pt>
                <c:pt idx="8">
                  <c:v>25.273545721809384</c:v>
                </c:pt>
                <c:pt idx="9">
                  <c:v>32.225827653944187</c:v>
                </c:pt>
                <c:pt idx="10">
                  <c:v>44.391129520547786</c:v>
                </c:pt>
                <c:pt idx="11">
                  <c:v>40.765275374567778</c:v>
                </c:pt>
                <c:pt idx="12">
                  <c:v>39.301794389991919</c:v>
                </c:pt>
                <c:pt idx="13">
                  <c:v>51.711840814047683</c:v>
                </c:pt>
                <c:pt idx="14">
                  <c:v>55.919060579884771</c:v>
                </c:pt>
                <c:pt idx="15">
                  <c:v>63.39736750930166</c:v>
                </c:pt>
                <c:pt idx="16">
                  <c:v>68.549649497360718</c:v>
                </c:pt>
                <c:pt idx="17">
                  <c:v>70.287718657573208</c:v>
                </c:pt>
                <c:pt idx="18">
                  <c:v>-11.759443778905476</c:v>
                </c:pt>
                <c:pt idx="19">
                  <c:v>28.861744616451777</c:v>
                </c:pt>
                <c:pt idx="20">
                  <c:v>86.946446909454451</c:v>
                </c:pt>
                <c:pt idx="21">
                  <c:v>7.803612880645141</c:v>
                </c:pt>
                <c:pt idx="22">
                  <c:v>11.239619937296499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strRef>
              <c:f>'242-2'!$H$38:$H$61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xVal>
          <c:yVal>
            <c:numRef>
              <c:f>'242-2'!$G$38:$G$61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'242-2'!$J$12</c:f>
              <c:numCache>
                <c:formatCode>General</c:formatCode>
                <c:ptCount val="1"/>
                <c:pt idx="0">
                  <c:v>-44.485400411665012</c:v>
                </c:pt>
              </c:numCache>
            </c:numRef>
          </c:xVal>
          <c:yVal>
            <c:numRef>
              <c:f>'242-2'!$I$12</c:f>
              <c:numCache>
                <c:formatCode>General</c:formatCode>
                <c:ptCount val="1"/>
                <c:pt idx="0">
                  <c:v>35.283842878369306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'242-2'!$J$38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'242-2'!$I$38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'242-2'!$J$4</c:f>
              <c:numCache>
                <c:formatCode>General</c:formatCode>
                <c:ptCount val="1"/>
                <c:pt idx="0">
                  <c:v>-44.485400411665012</c:v>
                </c:pt>
              </c:numCache>
            </c:numRef>
          </c:xVal>
          <c:yVal>
            <c:numRef>
              <c:f>'242-2'!$I$4</c:f>
              <c:numCache>
                <c:formatCode>General</c:formatCode>
                <c:ptCount val="1"/>
                <c:pt idx="0">
                  <c:v>35.283842878369306</c:v>
                </c:pt>
              </c:numCache>
            </c:numRef>
          </c:yVal>
        </c:ser>
        <c:axId val="84534784"/>
        <c:axId val="84623360"/>
      </c:scatterChart>
      <c:valAx>
        <c:axId val="84534784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4623360"/>
        <c:crosses val="autoZero"/>
        <c:crossBetween val="midCat"/>
      </c:valAx>
      <c:valAx>
        <c:axId val="8462336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4534784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'242-3'!$H$12:$H$34</c:f>
              <c:numCache>
                <c:formatCode>General</c:formatCode>
                <c:ptCount val="23"/>
                <c:pt idx="0">
                  <c:v>-20.629112612287191</c:v>
                </c:pt>
                <c:pt idx="1">
                  <c:v>-6.0987359218735717</c:v>
                </c:pt>
                <c:pt idx="2">
                  <c:v>-2.8407415024931426</c:v>
                </c:pt>
                <c:pt idx="3">
                  <c:v>0.44209380401013759</c:v>
                </c:pt>
                <c:pt idx="4">
                  <c:v>4.2919870843548082</c:v>
                </c:pt>
                <c:pt idx="5">
                  <c:v>-29.364449959001242</c:v>
                </c:pt>
                <c:pt idx="6">
                  <c:v>-27.649926391576052</c:v>
                </c:pt>
                <c:pt idx="7">
                  <c:v>-27.33913098600777</c:v>
                </c:pt>
                <c:pt idx="8">
                  <c:v>-26.406041735403331</c:v>
                </c:pt>
                <c:pt idx="9">
                  <c:v>-26.038768367576402</c:v>
                </c:pt>
                <c:pt idx="10">
                  <c:v>-25.434549620963381</c:v>
                </c:pt>
                <c:pt idx="11">
                  <c:v>-24.321247474163755</c:v>
                </c:pt>
                <c:pt idx="12">
                  <c:v>-23.605443888710575</c:v>
                </c:pt>
                <c:pt idx="13">
                  <c:v>-21.63550614948252</c:v>
                </c:pt>
                <c:pt idx="14">
                  <c:v>-19.804331405647133</c:v>
                </c:pt>
                <c:pt idx="15">
                  <c:v>-17.971118127549474</c:v>
                </c:pt>
                <c:pt idx="16">
                  <c:v>-17.49205984752405</c:v>
                </c:pt>
                <c:pt idx="17">
                  <c:v>-16.39198888500038</c:v>
                </c:pt>
                <c:pt idx="18">
                  <c:v>-15.914117177897571</c:v>
                </c:pt>
                <c:pt idx="19">
                  <c:v>-15.174846938201624</c:v>
                </c:pt>
                <c:pt idx="20">
                  <c:v>-12.579938571182723</c:v>
                </c:pt>
                <c:pt idx="21">
                  <c:v>-12.055095478203473</c:v>
                </c:pt>
                <c:pt idx="22">
                  <c:v>-11.541718934404019</c:v>
                </c:pt>
              </c:numCache>
            </c:numRef>
          </c:xVal>
          <c:yVal>
            <c:numRef>
              <c:f>'242-3'!$G$12:$G$34</c:f>
              <c:numCache>
                <c:formatCode>General</c:formatCode>
                <c:ptCount val="23"/>
                <c:pt idx="0">
                  <c:v>7.6445871588708814</c:v>
                </c:pt>
                <c:pt idx="1">
                  <c:v>33.448548849766993</c:v>
                </c:pt>
                <c:pt idx="2">
                  <c:v>2.8160588978238725</c:v>
                </c:pt>
                <c:pt idx="3">
                  <c:v>-15.993891117187708</c:v>
                </c:pt>
                <c:pt idx="4">
                  <c:v>21.577276168871073</c:v>
                </c:pt>
                <c:pt idx="5">
                  <c:v>-12.717274810481685</c:v>
                </c:pt>
                <c:pt idx="6">
                  <c:v>66.479181482178518</c:v>
                </c:pt>
                <c:pt idx="7">
                  <c:v>70.912424277625078</c:v>
                </c:pt>
                <c:pt idx="8">
                  <c:v>-14.238011092429215</c:v>
                </c:pt>
                <c:pt idx="9">
                  <c:v>56.267064450704218</c:v>
                </c:pt>
                <c:pt idx="10">
                  <c:v>58.728899918002476</c:v>
                </c:pt>
                <c:pt idx="11">
                  <c:v>26.541984125164475</c:v>
                </c:pt>
                <c:pt idx="12">
                  <c:v>32.292151040414396</c:v>
                </c:pt>
                <c:pt idx="13">
                  <c:v>70.766551941264623</c:v>
                </c:pt>
                <c:pt idx="14">
                  <c:v>39.291073510090037</c:v>
                </c:pt>
                <c:pt idx="15">
                  <c:v>37.961018337837864</c:v>
                </c:pt>
                <c:pt idx="16">
                  <c:v>24.372686398725868</c:v>
                </c:pt>
                <c:pt idx="17">
                  <c:v>55.635444640930331</c:v>
                </c:pt>
                <c:pt idx="18">
                  <c:v>-15.190157156795493</c:v>
                </c:pt>
                <c:pt idx="19">
                  <c:v>72.427370657798647</c:v>
                </c:pt>
                <c:pt idx="20">
                  <c:v>50.455377766351816</c:v>
                </c:pt>
                <c:pt idx="21">
                  <c:v>68.954149063065074</c:v>
                </c:pt>
                <c:pt idx="22">
                  <c:v>-11.081007356699109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'242-3'!$H$38:$H$59</c:f>
              <c:numCache>
                <c:formatCode>General</c:formatCode>
                <c:ptCount val="22"/>
                <c:pt idx="0">
                  <c:v>-64.753648032339854</c:v>
                </c:pt>
                <c:pt idx="1">
                  <c:v>-61.765956677025592</c:v>
                </c:pt>
                <c:pt idx="2">
                  <c:v>-61.037803090753165</c:v>
                </c:pt>
                <c:pt idx="3">
                  <c:v>-55.187287517872228</c:v>
                </c:pt>
                <c:pt idx="4">
                  <c:v>-51.698467463747207</c:v>
                </c:pt>
                <c:pt idx="5">
                  <c:v>-49.346390656792281</c:v>
                </c:pt>
                <c:pt idx="6">
                  <c:v>-44.366566435895933</c:v>
                </c:pt>
                <c:pt idx="7">
                  <c:v>-44.180968345673854</c:v>
                </c:pt>
                <c:pt idx="8">
                  <c:v>-41.050198806102387</c:v>
                </c:pt>
                <c:pt idx="9">
                  <c:v>-40.303288591112008</c:v>
                </c:pt>
                <c:pt idx="10">
                  <c:v>-34.203486904786864</c:v>
                </c:pt>
                <c:pt idx="11">
                  <c:v>-33.312500840189905</c:v>
                </c:pt>
                <c:pt idx="12">
                  <c:v>-33.134357458949736</c:v>
                </c:pt>
                <c:pt idx="13">
                  <c:v>-31.053061022553639</c:v>
                </c:pt>
                <c:pt idx="14">
                  <c:v>-30.218012757254296</c:v>
                </c:pt>
                <c:pt idx="15">
                  <c:v>-47.059776515829022</c:v>
                </c:pt>
                <c:pt idx="16">
                  <c:v>-46.440951839991236</c:v>
                </c:pt>
                <c:pt idx="17">
                  <c:v>-39.335427094035495</c:v>
                </c:pt>
                <c:pt idx="18">
                  <c:v>-37.111171375495907</c:v>
                </c:pt>
                <c:pt idx="19">
                  <c:v>-32.014370773571343</c:v>
                </c:pt>
                <c:pt idx="20">
                  <c:v>-31.19972808143882</c:v>
                </c:pt>
                <c:pt idx="21">
                  <c:v>-24.807362023529926</c:v>
                </c:pt>
              </c:numCache>
            </c:numRef>
          </c:xVal>
          <c:yVal>
            <c:numRef>
              <c:f>'242-3'!$G$38:$G$59</c:f>
              <c:numCache>
                <c:formatCode>General</c:formatCode>
                <c:ptCount val="22"/>
                <c:pt idx="0">
                  <c:v>70.872879626157783</c:v>
                </c:pt>
                <c:pt idx="1">
                  <c:v>56.929487928241528</c:v>
                </c:pt>
                <c:pt idx="2">
                  <c:v>63.390745332851573</c:v>
                </c:pt>
                <c:pt idx="3">
                  <c:v>17.842737918259729</c:v>
                </c:pt>
                <c:pt idx="4">
                  <c:v>80.890472009377419</c:v>
                </c:pt>
                <c:pt idx="5">
                  <c:v>75.265754026298339</c:v>
                </c:pt>
                <c:pt idx="6">
                  <c:v>65.365187850179339</c:v>
                </c:pt>
                <c:pt idx="7">
                  <c:v>-12.807889601279546</c:v>
                </c:pt>
                <c:pt idx="8">
                  <c:v>82.333961267386314</c:v>
                </c:pt>
                <c:pt idx="9">
                  <c:v>62.061622027961377</c:v>
                </c:pt>
                <c:pt idx="10">
                  <c:v>61.074720495095789</c:v>
                </c:pt>
                <c:pt idx="11">
                  <c:v>59.281340131379842</c:v>
                </c:pt>
                <c:pt idx="12">
                  <c:v>75.00742867064929</c:v>
                </c:pt>
                <c:pt idx="13">
                  <c:v>80.197926414150885</c:v>
                </c:pt>
                <c:pt idx="14">
                  <c:v>82.649087744526355</c:v>
                </c:pt>
                <c:pt idx="15">
                  <c:v>43.374847945326877</c:v>
                </c:pt>
                <c:pt idx="16">
                  <c:v>55.02034162194574</c:v>
                </c:pt>
                <c:pt idx="17">
                  <c:v>52.997397816589235</c:v>
                </c:pt>
                <c:pt idx="18">
                  <c:v>8.1707379800464413</c:v>
                </c:pt>
                <c:pt idx="19">
                  <c:v>35.764228832344493</c:v>
                </c:pt>
                <c:pt idx="20">
                  <c:v>13.512104486136794</c:v>
                </c:pt>
                <c:pt idx="21">
                  <c:v>86.5135526344487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'242-3'!$J$12</c:f>
              <c:numCache>
                <c:formatCode>General</c:formatCode>
                <c:ptCount val="1"/>
                <c:pt idx="0">
                  <c:v>-17.198034308121063</c:v>
                </c:pt>
              </c:numCache>
            </c:numRef>
          </c:xVal>
          <c:yVal>
            <c:numRef>
              <c:f>'242-3'!$I$12</c:f>
              <c:numCache>
                <c:formatCode>General</c:formatCode>
                <c:ptCount val="1"/>
                <c:pt idx="0">
                  <c:v>31.623978571821432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'242-3'!$J$38</c:f>
              <c:numCache>
                <c:formatCode>General</c:formatCode>
                <c:ptCount val="1"/>
                <c:pt idx="0">
                  <c:v>-42.435490104770032</c:v>
                </c:pt>
              </c:numCache>
            </c:numRef>
          </c:xVal>
          <c:yVal>
            <c:numRef>
              <c:f>'242-3'!$I$38</c:f>
              <c:numCache>
                <c:formatCode>General</c:formatCode>
                <c:ptCount val="1"/>
                <c:pt idx="0">
                  <c:v>55.259485143548822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'242-3'!$J$4</c:f>
              <c:numCache>
                <c:formatCode>General</c:formatCode>
                <c:ptCount val="1"/>
                <c:pt idx="0">
                  <c:v>-29.816762206445546</c:v>
                </c:pt>
              </c:numCache>
            </c:numRef>
          </c:xVal>
          <c:yVal>
            <c:numRef>
              <c:f>'242-3'!$I$4</c:f>
              <c:numCache>
                <c:formatCode>General</c:formatCode>
                <c:ptCount val="1"/>
                <c:pt idx="0">
                  <c:v>43.441731857685127</c:v>
                </c:pt>
              </c:numCache>
            </c:numRef>
          </c:yVal>
        </c:ser>
        <c:axId val="85729280"/>
        <c:axId val="85730816"/>
      </c:scatterChart>
      <c:valAx>
        <c:axId val="85729280"/>
        <c:scaling>
          <c:orientation val="minMax"/>
          <c:max val="50"/>
          <c:min val="-10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5730816"/>
        <c:crosses val="autoZero"/>
        <c:crossBetween val="midCat"/>
      </c:valAx>
      <c:valAx>
        <c:axId val="85730816"/>
        <c:scaling>
          <c:orientation val="minMax"/>
          <c:max val="110"/>
          <c:min val="-40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572928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КОБЭ 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'243-1  '!$H$12:$H$35</c:f>
              <c:numCache>
                <c:formatCode>General</c:formatCode>
                <c:ptCount val="24"/>
                <c:pt idx="0">
                  <c:v>9.9601911080006662</c:v>
                </c:pt>
                <c:pt idx="1">
                  <c:v>-2.0362167427586082E-2</c:v>
                </c:pt>
                <c:pt idx="2">
                  <c:v>-2.6515500618455263</c:v>
                </c:pt>
                <c:pt idx="3">
                  <c:v>-7.5088543219310822</c:v>
                </c:pt>
                <c:pt idx="4">
                  <c:v>-18.932430867621662</c:v>
                </c:pt>
                <c:pt idx="5">
                  <c:v>-20.178695632339554</c:v>
                </c:pt>
                <c:pt idx="6">
                  <c:v>-22.351417436262018</c:v>
                </c:pt>
                <c:pt idx="7">
                  <c:v>-10.724957588736308</c:v>
                </c:pt>
                <c:pt idx="8">
                  <c:v>-3.5618417531831543</c:v>
                </c:pt>
                <c:pt idx="9">
                  <c:v>3.0941951017132578</c:v>
                </c:pt>
                <c:pt idx="10">
                  <c:v>-2.5041580832055126</c:v>
                </c:pt>
                <c:pt idx="11">
                  <c:v>2.3559253477086131</c:v>
                </c:pt>
                <c:pt idx="12">
                  <c:v>-5.8831860133223319</c:v>
                </c:pt>
                <c:pt idx="13">
                  <c:v>-9.7569675055489178</c:v>
                </c:pt>
                <c:pt idx="14">
                  <c:v>-14.839858352170507</c:v>
                </c:pt>
                <c:pt idx="15">
                  <c:v>-19.142324607176743</c:v>
                </c:pt>
                <c:pt idx="16">
                  <c:v>-19.681436753151893</c:v>
                </c:pt>
                <c:pt idx="17">
                  <c:v>-14.21022258801405</c:v>
                </c:pt>
                <c:pt idx="18">
                  <c:v>-5.2108349661476625</c:v>
                </c:pt>
                <c:pt idx="19">
                  <c:v>-2.6991989393906102</c:v>
                </c:pt>
                <c:pt idx="20">
                  <c:v>-0.87265693421051727</c:v>
                </c:pt>
                <c:pt idx="21">
                  <c:v>1.4660434909759406</c:v>
                </c:pt>
                <c:pt idx="22">
                  <c:v>1.6754682331320458</c:v>
                </c:pt>
                <c:pt idx="23">
                  <c:v>-4.9904520632195979</c:v>
                </c:pt>
              </c:numCache>
            </c:numRef>
          </c:xVal>
          <c:yVal>
            <c:numRef>
              <c:f>'243-1  '!$G$12:$G$35</c:f>
              <c:numCache>
                <c:formatCode>General</c:formatCode>
                <c:ptCount val="24"/>
                <c:pt idx="0">
                  <c:v>42.857841675615262</c:v>
                </c:pt>
                <c:pt idx="1">
                  <c:v>-13.999985192211371</c:v>
                </c:pt>
                <c:pt idx="2">
                  <c:v>47.926707400670942</c:v>
                </c:pt>
                <c:pt idx="3">
                  <c:v>47.409040348566613</c:v>
                </c:pt>
                <c:pt idx="4">
                  <c:v>46.277025200878313</c:v>
                </c:pt>
                <c:pt idx="5">
                  <c:v>47.925152504477239</c:v>
                </c:pt>
                <c:pt idx="6">
                  <c:v>53.520221772615649</c:v>
                </c:pt>
                <c:pt idx="7">
                  <c:v>73.218681254989889</c:v>
                </c:pt>
                <c:pt idx="8">
                  <c:v>69.909321862862328</c:v>
                </c:pt>
                <c:pt idx="9">
                  <c:v>75.936986750018818</c:v>
                </c:pt>
                <c:pt idx="10">
                  <c:v>81.961754448610463</c:v>
                </c:pt>
                <c:pt idx="11">
                  <c:v>89.96915924780015</c:v>
                </c:pt>
                <c:pt idx="12">
                  <c:v>87.803121370100783</c:v>
                </c:pt>
                <c:pt idx="13">
                  <c:v>95.502887836419177</c:v>
                </c:pt>
                <c:pt idx="14">
                  <c:v>92.821218501415487</c:v>
                </c:pt>
                <c:pt idx="15">
                  <c:v>92.03027441355087</c:v>
                </c:pt>
                <c:pt idx="16">
                  <c:v>106.19153001690709</c:v>
                </c:pt>
                <c:pt idx="17">
                  <c:v>117.14123771754802</c:v>
                </c:pt>
                <c:pt idx="18">
                  <c:v>111.87871646991475</c:v>
                </c:pt>
                <c:pt idx="19">
                  <c:v>115.96859197681756</c:v>
                </c:pt>
                <c:pt idx="20">
                  <c:v>119.99682691586129</c:v>
                </c:pt>
                <c:pt idx="21">
                  <c:v>125.99147080847403</c:v>
                </c:pt>
                <c:pt idx="22">
                  <c:v>127.9890339294729</c:v>
                </c:pt>
                <c:pt idx="23">
                  <c:v>131.90563061600028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'243-1  '!$H$38:$H$61</c:f>
              <c:numCache>
                <c:formatCode>General</c:formatCode>
                <c:ptCount val="24"/>
                <c:pt idx="0">
                  <c:v>-100.87200608042566</c:v>
                </c:pt>
                <c:pt idx="1">
                  <c:v>-116.26871136124687</c:v>
                </c:pt>
                <c:pt idx="2">
                  <c:v>-122.19877178427222</c:v>
                </c:pt>
                <c:pt idx="3">
                  <c:v>-125.91325483591221</c:v>
                </c:pt>
                <c:pt idx="4">
                  <c:v>-121.36217333581899</c:v>
                </c:pt>
                <c:pt idx="5">
                  <c:v>-118.32811900242352</c:v>
                </c:pt>
                <c:pt idx="6">
                  <c:v>-117.00519882044787</c:v>
                </c:pt>
                <c:pt idx="7">
                  <c:v>-112.38657255121967</c:v>
                </c:pt>
                <c:pt idx="8">
                  <c:v>-106.58896428365237</c:v>
                </c:pt>
                <c:pt idx="9">
                  <c:v>-114.78761419522814</c:v>
                </c:pt>
                <c:pt idx="10">
                  <c:v>-126.51033179901496</c:v>
                </c:pt>
                <c:pt idx="11">
                  <c:v>-129.20284772607815</c:v>
                </c:pt>
                <c:pt idx="12">
                  <c:v>-129.99041081987556</c:v>
                </c:pt>
                <c:pt idx="13">
                  <c:v>-119.79316878006593</c:v>
                </c:pt>
                <c:pt idx="14">
                  <c:v>-115.8520183094419</c:v>
                </c:pt>
                <c:pt idx="15">
                  <c:v>-113.79210814609618</c:v>
                </c:pt>
                <c:pt idx="16">
                  <c:v>-112.92977158363168</c:v>
                </c:pt>
                <c:pt idx="17">
                  <c:v>-113.45130356346543</c:v>
                </c:pt>
                <c:pt idx="18">
                  <c:v>-120.19437606938611</c:v>
                </c:pt>
                <c:pt idx="19">
                  <c:v>-118.83768853388354</c:v>
                </c:pt>
                <c:pt idx="20">
                  <c:v>-114.65512013044443</c:v>
                </c:pt>
                <c:pt idx="21">
                  <c:v>-112.4397808758889</c:v>
                </c:pt>
                <c:pt idx="22">
                  <c:v>-112.84396120363819</c:v>
                </c:pt>
                <c:pt idx="23">
                  <c:v>-109.84389502143227</c:v>
                </c:pt>
              </c:numCache>
            </c:numRef>
          </c:xVal>
          <c:yVal>
            <c:numRef>
              <c:f>'243-1  '!$G$38:$G$61</c:f>
              <c:numCache>
                <c:formatCode>General</c:formatCode>
                <c:ptCount val="24"/>
                <c:pt idx="0">
                  <c:v>124.19677286190074</c:v>
                </c:pt>
                <c:pt idx="1">
                  <c:v>115.66151805330527</c:v>
                </c:pt>
                <c:pt idx="2">
                  <c:v>115.28859516194721</c:v>
                </c:pt>
                <c:pt idx="3">
                  <c:v>108.17509998436159</c:v>
                </c:pt>
                <c:pt idx="4">
                  <c:v>104.26515661143286</c:v>
                </c:pt>
                <c:pt idx="5">
                  <c:v>101.65852769614703</c:v>
                </c:pt>
                <c:pt idx="6">
                  <c:v>97.024653820497917</c:v>
                </c:pt>
                <c:pt idx="7">
                  <c:v>93.194733274951943</c:v>
                </c:pt>
                <c:pt idx="8">
                  <c:v>90.767795461486656</c:v>
                </c:pt>
                <c:pt idx="9">
                  <c:v>90.220860267276663</c:v>
                </c:pt>
                <c:pt idx="10">
                  <c:v>97.954764805511857</c:v>
                </c:pt>
                <c:pt idx="11">
                  <c:v>87.422103266118356</c:v>
                </c:pt>
                <c:pt idx="12">
                  <c:v>66.471746591164418</c:v>
                </c:pt>
                <c:pt idx="13">
                  <c:v>72.454100737160758</c:v>
                </c:pt>
                <c:pt idx="14">
                  <c:v>67.337284275717096</c:v>
                </c:pt>
                <c:pt idx="15">
                  <c:v>62.859813264653837</c:v>
                </c:pt>
                <c:pt idx="16">
                  <c:v>60.256673406924605</c:v>
                </c:pt>
                <c:pt idx="17">
                  <c:v>59.268893356890153</c:v>
                </c:pt>
                <c:pt idx="18">
                  <c:v>54.564750171617042</c:v>
                </c:pt>
                <c:pt idx="19">
                  <c:v>52.702976992990493</c:v>
                </c:pt>
                <c:pt idx="20">
                  <c:v>52.251348574686162</c:v>
                </c:pt>
                <c:pt idx="21">
                  <c:v>47.342324368181252</c:v>
                </c:pt>
                <c:pt idx="22">
                  <c:v>34.499861157282936</c:v>
                </c:pt>
                <c:pt idx="23">
                  <c:v>37.286977975166707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'243-1  '!$J$12</c:f>
              <c:numCache>
                <c:formatCode>General</c:formatCode>
                <c:ptCount val="1"/>
                <c:pt idx="0">
                  <c:v>-6.9653993063906148</c:v>
                </c:pt>
              </c:numCache>
            </c:numRef>
          </c:xVal>
          <c:yVal>
            <c:numRef>
              <c:f>'243-1  '!$I$12</c:f>
              <c:numCache>
                <c:formatCode>General</c:formatCode>
                <c:ptCount val="1"/>
                <c:pt idx="0">
                  <c:v>82.838851993640688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dLbls>
            <c:dLbl>
              <c:idx val="0"/>
              <c:numFmt formatCode="#,##0.00" sourceLinked="0"/>
              <c:spPr/>
              <c:txPr>
                <a:bodyPr/>
                <a:lstStyle/>
                <a:p>
                  <a:pPr>
                    <a:defRPr/>
                  </a:pPr>
                  <a:endParaRPr lang="ru-RU"/>
                </a:p>
              </c:txPr>
            </c:dLbl>
            <c:numFmt formatCode="General" sourceLinked="0"/>
            <c:showVal val="1"/>
            <c:showCatName val="1"/>
          </c:dLbls>
          <c:xVal>
            <c:numRef>
              <c:f>'243-1  '!$J$38</c:f>
              <c:numCache>
                <c:formatCode>General</c:formatCode>
                <c:ptCount val="1"/>
                <c:pt idx="0">
                  <c:v>-116.91867370054128</c:v>
                </c:pt>
              </c:numCache>
            </c:numRef>
          </c:xVal>
          <c:yVal>
            <c:numRef>
              <c:f>'243-1  '!$I$38</c:f>
              <c:numCache>
                <c:formatCode>General</c:formatCode>
                <c:ptCount val="1"/>
                <c:pt idx="0">
                  <c:v>78.880305505723911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'243-1  '!$J$4</c:f>
              <c:numCache>
                <c:formatCode>General</c:formatCode>
                <c:ptCount val="1"/>
                <c:pt idx="0">
                  <c:v>-61.942036503465943</c:v>
                </c:pt>
              </c:numCache>
            </c:numRef>
          </c:xVal>
          <c:yVal>
            <c:numRef>
              <c:f>'243-1  '!$I$4</c:f>
              <c:numCache>
                <c:formatCode>General</c:formatCode>
                <c:ptCount val="1"/>
                <c:pt idx="0">
                  <c:v>80.859578749682299</c:v>
                </c:pt>
              </c:numCache>
            </c:numRef>
          </c:yVal>
        </c:ser>
        <c:axId val="86026496"/>
        <c:axId val="86040960"/>
      </c:scatterChart>
      <c:valAx>
        <c:axId val="86026496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6040960"/>
        <c:crosses val="autoZero"/>
        <c:crossBetween val="midCat"/>
      </c:valAx>
      <c:valAx>
        <c:axId val="8604096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6026496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КОБЭ 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'243-2'!$H$12:$H$35</c:f>
              <c:numCache>
                <c:formatCode>General</c:formatCode>
                <c:ptCount val="24"/>
                <c:pt idx="0">
                  <c:v>-96.72486154358441</c:v>
                </c:pt>
                <c:pt idx="1">
                  <c:v>-85.566549128618519</c:v>
                </c:pt>
                <c:pt idx="2">
                  <c:v>-83.239804716230609</c:v>
                </c:pt>
                <c:pt idx="3">
                  <c:v>-82.412618862201555</c:v>
                </c:pt>
                <c:pt idx="4">
                  <c:v>-79.335334029123487</c:v>
                </c:pt>
                <c:pt idx="5">
                  <c:v>-78.510930362349981</c:v>
                </c:pt>
                <c:pt idx="6">
                  <c:v>-78.035765159593353</c:v>
                </c:pt>
                <c:pt idx="7">
                  <c:v>-77.69060740906356</c:v>
                </c:pt>
                <c:pt idx="8">
                  <c:v>-75.079071207266139</c:v>
                </c:pt>
                <c:pt idx="9">
                  <c:v>-74.533744696639005</c:v>
                </c:pt>
                <c:pt idx="10">
                  <c:v>-71.851951781512554</c:v>
                </c:pt>
                <c:pt idx="11">
                  <c:v>-70.759488202537895</c:v>
                </c:pt>
                <c:pt idx="12">
                  <c:v>-66.827704028282</c:v>
                </c:pt>
                <c:pt idx="13">
                  <c:v>-61.886185578267302</c:v>
                </c:pt>
                <c:pt idx="14">
                  <c:v>-58.718243339788359</c:v>
                </c:pt>
                <c:pt idx="15">
                  <c:v>-57.916072158625418</c:v>
                </c:pt>
                <c:pt idx="16">
                  <c:v>-99.414524172863565</c:v>
                </c:pt>
                <c:pt idx="17">
                  <c:v>-89.723416833502895</c:v>
                </c:pt>
                <c:pt idx="18">
                  <c:v>-89.523266694866109</c:v>
                </c:pt>
                <c:pt idx="19">
                  <c:v>-86.032439291113093</c:v>
                </c:pt>
                <c:pt idx="20">
                  <c:v>-78.639672348460266</c:v>
                </c:pt>
                <c:pt idx="21">
                  <c:v>-60.562995878192048</c:v>
                </c:pt>
                <c:pt idx="22">
                  <c:v>-93.305204221047703</c:v>
                </c:pt>
                <c:pt idx="23">
                  <c:v>55.923814906338208</c:v>
                </c:pt>
              </c:numCache>
            </c:numRef>
          </c:xVal>
          <c:yVal>
            <c:numRef>
              <c:f>'243-2'!$G$12:$G$35</c:f>
              <c:numCache>
                <c:formatCode>General</c:formatCode>
                <c:ptCount val="24"/>
                <c:pt idx="0">
                  <c:v>83.834963824018104</c:v>
                </c:pt>
                <c:pt idx="1">
                  <c:v>51.752929097971965</c:v>
                </c:pt>
                <c:pt idx="2">
                  <c:v>62.346891749338958</c:v>
                </c:pt>
                <c:pt idx="3">
                  <c:v>56.640623692483317</c:v>
                </c:pt>
                <c:pt idx="4">
                  <c:v>60.876142900872097</c:v>
                </c:pt>
                <c:pt idx="5">
                  <c:v>101.09418288723754</c:v>
                </c:pt>
                <c:pt idx="6">
                  <c:v>80.33940101816043</c:v>
                </c:pt>
                <c:pt idx="7">
                  <c:v>69.138770023849546</c:v>
                </c:pt>
                <c:pt idx="8">
                  <c:v>88.425861978576492</c:v>
                </c:pt>
                <c:pt idx="9">
                  <c:v>118.51042528611666</c:v>
                </c:pt>
                <c:pt idx="10">
                  <c:v>47.257772114089299</c:v>
                </c:pt>
                <c:pt idx="11">
                  <c:v>55.61559879489657</c:v>
                </c:pt>
                <c:pt idx="12">
                  <c:v>82.280362021009239</c:v>
                </c:pt>
                <c:pt idx="13">
                  <c:v>53.796840377221599</c:v>
                </c:pt>
                <c:pt idx="14">
                  <c:v>51.343625690920966</c:v>
                </c:pt>
                <c:pt idx="15">
                  <c:v>63.574590723943267</c:v>
                </c:pt>
                <c:pt idx="16">
                  <c:v>42.198961876841558</c:v>
                </c:pt>
                <c:pt idx="17">
                  <c:v>34.14247313422814</c:v>
                </c:pt>
                <c:pt idx="18">
                  <c:v>34.663882071687766</c:v>
                </c:pt>
                <c:pt idx="19">
                  <c:v>32.594775495789833</c:v>
                </c:pt>
                <c:pt idx="20">
                  <c:v>39.494327857640698</c:v>
                </c:pt>
                <c:pt idx="21">
                  <c:v>45.914306378928266</c:v>
                </c:pt>
                <c:pt idx="22">
                  <c:v>61.952714753016124</c:v>
                </c:pt>
                <c:pt idx="23">
                  <c:v>-70.516146564610466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'243-2'!$H$38:$H$61</c:f>
              <c:numCache>
                <c:formatCode>General</c:formatCode>
                <c:ptCount val="24"/>
                <c:pt idx="0">
                  <c:v>-47.494750263462194</c:v>
                </c:pt>
                <c:pt idx="1">
                  <c:v>-47.022417568846024</c:v>
                </c:pt>
                <c:pt idx="2">
                  <c:v>-37.096451796304194</c:v>
                </c:pt>
                <c:pt idx="3">
                  <c:v>-36.285103911767379</c:v>
                </c:pt>
                <c:pt idx="4">
                  <c:v>-35.774802457334701</c:v>
                </c:pt>
                <c:pt idx="5">
                  <c:v>-34.847989281666294</c:v>
                </c:pt>
                <c:pt idx="6">
                  <c:v>-33.987018624023882</c:v>
                </c:pt>
                <c:pt idx="7">
                  <c:v>-30.645573153099779</c:v>
                </c:pt>
                <c:pt idx="8">
                  <c:v>-30.438071450436016</c:v>
                </c:pt>
                <c:pt idx="9">
                  <c:v>-30.214590266804226</c:v>
                </c:pt>
                <c:pt idx="10">
                  <c:v>-29.476345792493916</c:v>
                </c:pt>
                <c:pt idx="11">
                  <c:v>-28.08087090817763</c:v>
                </c:pt>
                <c:pt idx="12">
                  <c:v>-23.749466520947252</c:v>
                </c:pt>
                <c:pt idx="13">
                  <c:v>-23.224085872092232</c:v>
                </c:pt>
                <c:pt idx="14">
                  <c:v>-22.638124394063819</c:v>
                </c:pt>
                <c:pt idx="15">
                  <c:v>-22.591153385029681</c:v>
                </c:pt>
                <c:pt idx="16">
                  <c:v>-22.478749821234995</c:v>
                </c:pt>
                <c:pt idx="17">
                  <c:v>-19.982984335492084</c:v>
                </c:pt>
                <c:pt idx="18">
                  <c:v>-19.689954678875029</c:v>
                </c:pt>
                <c:pt idx="19">
                  <c:v>-19.559022124367711</c:v>
                </c:pt>
                <c:pt idx="20">
                  <c:v>-19.039259666678547</c:v>
                </c:pt>
                <c:pt idx="21">
                  <c:v>-17.971118127549474</c:v>
                </c:pt>
                <c:pt idx="22">
                  <c:v>-17.875816862308909</c:v>
                </c:pt>
                <c:pt idx="23">
                  <c:v>-2.0934382497177535</c:v>
                </c:pt>
              </c:numCache>
            </c:numRef>
          </c:xVal>
          <c:yVal>
            <c:numRef>
              <c:f>'243-2'!$G$38:$G$61</c:f>
              <c:numCache>
                <c:formatCode>General</c:formatCode>
                <c:ptCount val="24"/>
                <c:pt idx="0">
                  <c:v>36.663997291775999</c:v>
                </c:pt>
                <c:pt idx="1">
                  <c:v>-9.6380623561523624</c:v>
                </c:pt>
                <c:pt idx="2">
                  <c:v>27.200243824724794</c:v>
                </c:pt>
                <c:pt idx="3">
                  <c:v>37.247701058082008</c:v>
                </c:pt>
                <c:pt idx="4">
                  <c:v>45.652639673283723</c:v>
                </c:pt>
                <c:pt idx="5">
                  <c:v>30.026948613285221</c:v>
                </c:pt>
                <c:pt idx="6">
                  <c:v>0.93944933352153348</c:v>
                </c:pt>
                <c:pt idx="7">
                  <c:v>58.453818062792188</c:v>
                </c:pt>
                <c:pt idx="8">
                  <c:v>39.667667014561772</c:v>
                </c:pt>
                <c:pt idx="9">
                  <c:v>23.045141245154902</c:v>
                </c:pt>
                <c:pt idx="10">
                  <c:v>45.245386933049062</c:v>
                </c:pt>
                <c:pt idx="11">
                  <c:v>46.124447845348385</c:v>
                </c:pt>
                <c:pt idx="12">
                  <c:v>21.446744274374275</c:v>
                </c:pt>
                <c:pt idx="13">
                  <c:v>24.83227406835077</c:v>
                </c:pt>
                <c:pt idx="14">
                  <c:v>55.565414818202271</c:v>
                </c:pt>
                <c:pt idx="15">
                  <c:v>46.836308444774573</c:v>
                </c:pt>
                <c:pt idx="16">
                  <c:v>13.065443217676451</c:v>
                </c:pt>
                <c:pt idx="17">
                  <c:v>71.250826921850376</c:v>
                </c:pt>
                <c:pt idx="18">
                  <c:v>39.348515661252677</c:v>
                </c:pt>
                <c:pt idx="19">
                  <c:v>13.908438213490916</c:v>
                </c:pt>
                <c:pt idx="20">
                  <c:v>69.437069288275609</c:v>
                </c:pt>
                <c:pt idx="21">
                  <c:v>37.961018337837864</c:v>
                </c:pt>
                <c:pt idx="22">
                  <c:v>57.275257934863923</c:v>
                </c:pt>
                <c:pt idx="23">
                  <c:v>39.945181390182952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'243-2'!$J$12</c:f>
              <c:numCache>
                <c:formatCode>General</c:formatCode>
                <c:ptCount val="1"/>
                <c:pt idx="0">
                  <c:v>-72.515276530724648</c:v>
                </c:pt>
              </c:numCache>
            </c:numRef>
          </c:xVal>
          <c:yVal>
            <c:numRef>
              <c:f>'243-2'!$I$12</c:f>
              <c:numCache>
                <c:formatCode>General</c:formatCode>
                <c:ptCount val="1"/>
                <c:pt idx="0">
                  <c:v>56.136428216009506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'243-2'!$J$38</c:f>
              <c:numCache>
                <c:formatCode>General</c:formatCode>
                <c:ptCount val="1"/>
                <c:pt idx="0">
                  <c:v>-27.177381646365575</c:v>
                </c:pt>
              </c:numCache>
            </c:numRef>
          </c:xVal>
          <c:yVal>
            <c:numRef>
              <c:f>'243-2'!$I$38</c:f>
              <c:numCache>
                <c:formatCode>General</c:formatCode>
                <c:ptCount val="1"/>
                <c:pt idx="0">
                  <c:v>36.312577962940004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'243-2'!$J$4</c:f>
              <c:numCache>
                <c:formatCode>General</c:formatCode>
                <c:ptCount val="1"/>
                <c:pt idx="0">
                  <c:v>-49.846329088545112</c:v>
                </c:pt>
              </c:numCache>
            </c:numRef>
          </c:xVal>
          <c:yVal>
            <c:numRef>
              <c:f>'243-2'!$I$4</c:f>
              <c:numCache>
                <c:formatCode>General</c:formatCode>
                <c:ptCount val="1"/>
                <c:pt idx="0">
                  <c:v>46.224503089474752</c:v>
                </c:pt>
              </c:numCache>
            </c:numRef>
          </c:yVal>
        </c:ser>
        <c:axId val="85971712"/>
        <c:axId val="85973632"/>
      </c:scatterChart>
      <c:valAx>
        <c:axId val="85971712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5973632"/>
        <c:crosses val="autoZero"/>
        <c:crossBetween val="midCat"/>
      </c:valAx>
      <c:valAx>
        <c:axId val="85973632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5971712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КОБЭ 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'243-3 '!$H$12:$H$35</c:f>
              <c:numCache>
                <c:formatCode>General</c:formatCode>
                <c:ptCount val="24"/>
                <c:pt idx="0">
                  <c:v>85.586446137557246</c:v>
                </c:pt>
                <c:pt idx="1">
                  <c:v>92.117210671434151</c:v>
                </c:pt>
                <c:pt idx="2">
                  <c:v>92.64893501553837</c:v>
                </c:pt>
                <c:pt idx="3">
                  <c:v>93.912067474306852</c:v>
                </c:pt>
                <c:pt idx="4">
                  <c:v>95.918417341218017</c:v>
                </c:pt>
                <c:pt idx="5">
                  <c:v>98.097613770835991</c:v>
                </c:pt>
                <c:pt idx="6">
                  <c:v>98.892284383324579</c:v>
                </c:pt>
                <c:pt idx="7">
                  <c:v>99.70664661389111</c:v>
                </c:pt>
                <c:pt idx="8">
                  <c:v>99.83466729685</c:v>
                </c:pt>
                <c:pt idx="9">
                  <c:v>100.62723674092678</c:v>
                </c:pt>
                <c:pt idx="10">
                  <c:v>100.73541911655438</c:v>
                </c:pt>
                <c:pt idx="11">
                  <c:v>100.74397764264296</c:v>
                </c:pt>
                <c:pt idx="12">
                  <c:v>102.01504092911819</c:v>
                </c:pt>
                <c:pt idx="13">
                  <c:v>102.90007304441774</c:v>
                </c:pt>
                <c:pt idx="14">
                  <c:v>103.25318635406313</c:v>
                </c:pt>
                <c:pt idx="15">
                  <c:v>103.41521132160423</c:v>
                </c:pt>
                <c:pt idx="16">
                  <c:v>103.76733669327811</c:v>
                </c:pt>
                <c:pt idx="17">
                  <c:v>105.67249156112344</c:v>
                </c:pt>
                <c:pt idx="18">
                  <c:v>106.30934759902554</c:v>
                </c:pt>
                <c:pt idx="19">
                  <c:v>106.31146092552285</c:v>
                </c:pt>
                <c:pt idx="20">
                  <c:v>108.01635555026523</c:v>
                </c:pt>
                <c:pt idx="21">
                  <c:v>108.2649322769727</c:v>
                </c:pt>
                <c:pt idx="22">
                  <c:v>110.88591405338934</c:v>
                </c:pt>
                <c:pt idx="23">
                  <c:v>112.01554080224942</c:v>
                </c:pt>
              </c:numCache>
            </c:numRef>
          </c:xVal>
          <c:yVal>
            <c:numRef>
              <c:f>'243-3 '!$G$12:$G$35</c:f>
              <c:numCache>
                <c:formatCode>General</c:formatCode>
                <c:ptCount val="24"/>
                <c:pt idx="0">
                  <c:v>65.870784400544466</c:v>
                </c:pt>
                <c:pt idx="1">
                  <c:v>63.705725787519427</c:v>
                </c:pt>
                <c:pt idx="2">
                  <c:v>85.394231892362299</c:v>
                </c:pt>
                <c:pt idx="3">
                  <c:v>77.875051092768075</c:v>
                </c:pt>
                <c:pt idx="4">
                  <c:v>75.390033921970925</c:v>
                </c:pt>
                <c:pt idx="5">
                  <c:v>69.114818761737993</c:v>
                </c:pt>
                <c:pt idx="6">
                  <c:v>56.71257435038244</c:v>
                </c:pt>
                <c:pt idx="7">
                  <c:v>55.268296708082431</c:v>
                </c:pt>
                <c:pt idx="8">
                  <c:v>70.121602988859792</c:v>
                </c:pt>
                <c:pt idx="9">
                  <c:v>57.707531795125988</c:v>
                </c:pt>
                <c:pt idx="10">
                  <c:v>65.210239498196387</c:v>
                </c:pt>
                <c:pt idx="11">
                  <c:v>68.808800082101826</c:v>
                </c:pt>
                <c:pt idx="12">
                  <c:v>92.935092533608312</c:v>
                </c:pt>
                <c:pt idx="13">
                  <c:v>85.834579089394367</c:v>
                </c:pt>
                <c:pt idx="14">
                  <c:v>108.80615565184311</c:v>
                </c:pt>
                <c:pt idx="15">
                  <c:v>88.324934572904937</c:v>
                </c:pt>
                <c:pt idx="16">
                  <c:v>93.980529023749682</c:v>
                </c:pt>
                <c:pt idx="17">
                  <c:v>68.624518411893419</c:v>
                </c:pt>
                <c:pt idx="18">
                  <c:v>81.574031487168526</c:v>
                </c:pt>
                <c:pt idx="19">
                  <c:v>84.816703990906348</c:v>
                </c:pt>
                <c:pt idx="20">
                  <c:v>82.634538382196382</c:v>
                </c:pt>
                <c:pt idx="21">
                  <c:v>94.945797374409963</c:v>
                </c:pt>
                <c:pt idx="22">
                  <c:v>101.01640492783511</c:v>
                </c:pt>
                <c:pt idx="23">
                  <c:v>105.68121223178504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'243-3 '!$H$38:$H$61</c:f>
              <c:numCache>
                <c:formatCode>General</c:formatCode>
                <c:ptCount val="24"/>
                <c:pt idx="0">
                  <c:v>21.207107458435868</c:v>
                </c:pt>
                <c:pt idx="1">
                  <c:v>23.632093986995297</c:v>
                </c:pt>
                <c:pt idx="2">
                  <c:v>27.165749272876624</c:v>
                </c:pt>
                <c:pt idx="3">
                  <c:v>33.415522346650228</c:v>
                </c:pt>
                <c:pt idx="4">
                  <c:v>34.856898240961733</c:v>
                </c:pt>
                <c:pt idx="5">
                  <c:v>35.970151618429966</c:v>
                </c:pt>
                <c:pt idx="6">
                  <c:v>36.961971351129783</c:v>
                </c:pt>
                <c:pt idx="7">
                  <c:v>38.10707065446185</c:v>
                </c:pt>
                <c:pt idx="8">
                  <c:v>39.245872922531852</c:v>
                </c:pt>
                <c:pt idx="9">
                  <c:v>39.402334420842131</c:v>
                </c:pt>
                <c:pt idx="10">
                  <c:v>41.145534080521784</c:v>
                </c:pt>
                <c:pt idx="11">
                  <c:v>41.840177319853311</c:v>
                </c:pt>
                <c:pt idx="12">
                  <c:v>42.599517100264876</c:v>
                </c:pt>
                <c:pt idx="13">
                  <c:v>42.703971371873777</c:v>
                </c:pt>
                <c:pt idx="14">
                  <c:v>44.881297876263467</c:v>
                </c:pt>
                <c:pt idx="15">
                  <c:v>46.467341559642207</c:v>
                </c:pt>
                <c:pt idx="16">
                  <c:v>47.63016257811509</c:v>
                </c:pt>
                <c:pt idx="17">
                  <c:v>48.368004207913373</c:v>
                </c:pt>
                <c:pt idx="18">
                  <c:v>50.186793729602059</c:v>
                </c:pt>
                <c:pt idx="19">
                  <c:v>51.517790171754761</c:v>
                </c:pt>
                <c:pt idx="20">
                  <c:v>86.316859656905621</c:v>
                </c:pt>
                <c:pt idx="21">
                  <c:v>89.055284396346948</c:v>
                </c:pt>
                <c:pt idx="22">
                  <c:v>92.317609983081525</c:v>
                </c:pt>
                <c:pt idx="23">
                  <c:v>100.68426270313915</c:v>
                </c:pt>
              </c:numCache>
            </c:numRef>
          </c:xVal>
          <c:yVal>
            <c:numRef>
              <c:f>'243-3 '!$G$38:$G$61</c:f>
              <c:numCache>
                <c:formatCode>General</c:formatCode>
                <c:ptCount val="24"/>
                <c:pt idx="0">
                  <c:v>11.23648491505924</c:v>
                </c:pt>
                <c:pt idx="1">
                  <c:v>78.520851585994791</c:v>
                </c:pt>
                <c:pt idx="2">
                  <c:v>66.678497781842708</c:v>
                </c:pt>
                <c:pt idx="3">
                  <c:v>68.259818827041428</c:v>
                </c:pt>
                <c:pt idx="4">
                  <c:v>53.674916348507139</c:v>
                </c:pt>
                <c:pt idx="5">
                  <c:v>1.4656713639694754</c:v>
                </c:pt>
                <c:pt idx="6">
                  <c:v>33.672134975945042</c:v>
                </c:pt>
                <c:pt idx="7">
                  <c:v>56.319190034444325</c:v>
                </c:pt>
                <c:pt idx="8">
                  <c:v>55.531625750994188</c:v>
                </c:pt>
                <c:pt idx="9">
                  <c:v>50.432688230830202</c:v>
                </c:pt>
                <c:pt idx="10">
                  <c:v>75.518507832375903</c:v>
                </c:pt>
                <c:pt idx="11">
                  <c:v>3.6605411954016418</c:v>
                </c:pt>
                <c:pt idx="12">
                  <c:v>81.543124436240731</c:v>
                </c:pt>
                <c:pt idx="13">
                  <c:v>88.206410362683869</c:v>
                </c:pt>
                <c:pt idx="14">
                  <c:v>26.261551761883915</c:v>
                </c:pt>
                <c:pt idx="15">
                  <c:v>95.272168907711702</c:v>
                </c:pt>
                <c:pt idx="16">
                  <c:v>53.994144245300568</c:v>
                </c:pt>
                <c:pt idx="17">
                  <c:v>75.898196084908861</c:v>
                </c:pt>
                <c:pt idx="18">
                  <c:v>42.863571189792097</c:v>
                </c:pt>
                <c:pt idx="19">
                  <c:v>71.343656310978687</c:v>
                </c:pt>
                <c:pt idx="20">
                  <c:v>144.1298017030831</c:v>
                </c:pt>
                <c:pt idx="21">
                  <c:v>30.08581594515536</c:v>
                </c:pt>
                <c:pt idx="22">
                  <c:v>43.375786874841197</c:v>
                </c:pt>
                <c:pt idx="23">
                  <c:v>44.302135884461165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'243-3 '!$J$12</c:f>
              <c:numCache>
                <c:formatCode>General</c:formatCode>
                <c:ptCount val="1"/>
                <c:pt idx="0">
                  <c:v>101.31865888817124</c:v>
                </c:pt>
              </c:numCache>
            </c:numRef>
          </c:xVal>
          <c:yVal>
            <c:numRef>
              <c:f>'243-3 '!$I$12</c:f>
              <c:numCache>
                <c:formatCode>General</c:formatCode>
                <c:ptCount val="1"/>
                <c:pt idx="0">
                  <c:v>79.181424539889463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'243-3 '!$J$38</c:f>
              <c:numCache>
                <c:formatCode>General</c:formatCode>
                <c:ptCount val="1"/>
                <c:pt idx="0">
                  <c:v>48.153307458691394</c:v>
                </c:pt>
              </c:numCache>
            </c:numRef>
          </c:xVal>
          <c:yVal>
            <c:numRef>
              <c:f>'243-3 '!$I$38</c:f>
              <c:numCache>
                <c:formatCode>General</c:formatCode>
                <c:ptCount val="1"/>
                <c:pt idx="0">
                  <c:v>56.343637189560305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'243-3 '!$J$4</c:f>
              <c:numCache>
                <c:formatCode>General</c:formatCode>
                <c:ptCount val="1"/>
                <c:pt idx="0">
                  <c:v>74.735983173431322</c:v>
                </c:pt>
              </c:numCache>
            </c:numRef>
          </c:xVal>
          <c:yVal>
            <c:numRef>
              <c:f>'243-3 '!$I$4</c:f>
              <c:numCache>
                <c:formatCode>General</c:formatCode>
                <c:ptCount val="1"/>
                <c:pt idx="0">
                  <c:v>67.76253086472488</c:v>
                </c:pt>
              </c:numCache>
            </c:numRef>
          </c:yVal>
        </c:ser>
        <c:axId val="87444480"/>
        <c:axId val="87458944"/>
      </c:scatterChart>
      <c:valAx>
        <c:axId val="87444480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7458944"/>
        <c:crosses val="autoZero"/>
        <c:crossBetween val="midCat"/>
      </c:valAx>
      <c:valAx>
        <c:axId val="87458944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744448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КОБЭ 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numRef>
              <c:f>'243-4'!$H$12:$H$35</c:f>
              <c:numCache>
                <c:formatCode>General</c:formatCode>
                <c:ptCount val="24"/>
                <c:pt idx="0">
                  <c:v>24.170972370555042</c:v>
                </c:pt>
                <c:pt idx="1">
                  <c:v>22.360123408991729</c:v>
                </c:pt>
                <c:pt idx="2">
                  <c:v>10.279220446081625</c:v>
                </c:pt>
                <c:pt idx="3">
                  <c:v>10.279220446081625</c:v>
                </c:pt>
                <c:pt idx="4">
                  <c:v>9.1459289708403162</c:v>
                </c:pt>
                <c:pt idx="5">
                  <c:v>12.281769435782795</c:v>
                </c:pt>
                <c:pt idx="6">
                  <c:v>24.705139529970779</c:v>
                </c:pt>
                <c:pt idx="7">
                  <c:v>24.389143922240844</c:v>
                </c:pt>
                <c:pt idx="8">
                  <c:v>3.2193048922435721</c:v>
                </c:pt>
                <c:pt idx="9">
                  <c:v>3.0127689148260668</c:v>
                </c:pt>
                <c:pt idx="10">
                  <c:v>10.02957193321158</c:v>
                </c:pt>
                <c:pt idx="11">
                  <c:v>16.856047542666808</c:v>
                </c:pt>
                <c:pt idx="12">
                  <c:v>18.027360291919809</c:v>
                </c:pt>
                <c:pt idx="13">
                  <c:v>15.96684510957807</c:v>
                </c:pt>
                <c:pt idx="14">
                  <c:v>13.397384219205911</c:v>
                </c:pt>
                <c:pt idx="15">
                  <c:v>14.385913488517724</c:v>
                </c:pt>
                <c:pt idx="16">
                  <c:v>15.007425581462053</c:v>
                </c:pt>
                <c:pt idx="17">
                  <c:v>2.8786877112806164</c:v>
                </c:pt>
                <c:pt idx="18">
                  <c:v>8.4332520014894889</c:v>
                </c:pt>
                <c:pt idx="19">
                  <c:v>11.150395923296193</c:v>
                </c:pt>
                <c:pt idx="20">
                  <c:v>13.166148741449657</c:v>
                </c:pt>
                <c:pt idx="21">
                  <c:v>31.441482763377401</c:v>
                </c:pt>
                <c:pt idx="22">
                  <c:v>20.716662990009254</c:v>
                </c:pt>
                <c:pt idx="23">
                  <c:v>19.992524837418411</c:v>
                </c:pt>
              </c:numCache>
            </c:numRef>
          </c:xVal>
          <c:yVal>
            <c:numRef>
              <c:f>'243-4'!$G$12:$G$35</c:f>
              <c:numCache>
                <c:formatCode>General</c:formatCode>
                <c:ptCount val="24"/>
                <c:pt idx="0">
                  <c:v>29.321734168733347</c:v>
                </c:pt>
                <c:pt idx="1">
                  <c:v>35.553127585834979</c:v>
                </c:pt>
                <c:pt idx="2">
                  <c:v>40.722691794880866</c:v>
                </c:pt>
                <c:pt idx="3">
                  <c:v>40.722691794880866</c:v>
                </c:pt>
                <c:pt idx="4">
                  <c:v>28.571873989298354</c:v>
                </c:pt>
                <c:pt idx="5">
                  <c:v>27.370753360590417</c:v>
                </c:pt>
                <c:pt idx="6">
                  <c:v>65.495466108767218</c:v>
                </c:pt>
                <c:pt idx="7">
                  <c:v>76.191663971462276</c:v>
                </c:pt>
                <c:pt idx="8">
                  <c:v>81.936780971739282</c:v>
                </c:pt>
                <c:pt idx="9">
                  <c:v>73.938644993439368</c:v>
                </c:pt>
                <c:pt idx="10">
                  <c:v>75.335301730573391</c:v>
                </c:pt>
                <c:pt idx="11">
                  <c:v>72.054657456956633</c:v>
                </c:pt>
                <c:pt idx="12">
                  <c:v>69.706630107223759</c:v>
                </c:pt>
                <c:pt idx="13">
                  <c:v>64.039517934215766</c:v>
                </c:pt>
                <c:pt idx="14">
                  <c:v>62.582026941310971</c:v>
                </c:pt>
                <c:pt idx="15">
                  <c:v>60.30792230794296</c:v>
                </c:pt>
                <c:pt idx="16">
                  <c:v>66.323277794578871</c:v>
                </c:pt>
                <c:pt idx="17">
                  <c:v>59.930903189097037</c:v>
                </c:pt>
                <c:pt idx="18">
                  <c:v>51.311599669854118</c:v>
                </c:pt>
                <c:pt idx="19">
                  <c:v>52.836243912240199</c:v>
                </c:pt>
                <c:pt idx="20">
                  <c:v>50.305591412068935</c:v>
                </c:pt>
                <c:pt idx="21">
                  <c:v>21.340880057772729</c:v>
                </c:pt>
                <c:pt idx="22">
                  <c:v>7.4040444730147881</c:v>
                </c:pt>
                <c:pt idx="23">
                  <c:v>9.1814459985999992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numRef>
              <c:f>'243-4'!$H$38:$H$61</c:f>
              <c:numCache>
                <c:formatCode>General</c:formatCode>
                <c:ptCount val="24"/>
                <c:pt idx="0">
                  <c:v>-44.133606419022669</c:v>
                </c:pt>
                <c:pt idx="1">
                  <c:v>-86.105608356384366</c:v>
                </c:pt>
                <c:pt idx="2">
                  <c:v>-88.377773034255085</c:v>
                </c:pt>
                <c:pt idx="3">
                  <c:v>-88.531293280363386</c:v>
                </c:pt>
                <c:pt idx="4">
                  <c:v>-83.493063378464328</c:v>
                </c:pt>
                <c:pt idx="5">
                  <c:v>-88.922010197069781</c:v>
                </c:pt>
                <c:pt idx="6">
                  <c:v>-92.333523471835875</c:v>
                </c:pt>
                <c:pt idx="7">
                  <c:v>-91.566563551665936</c:v>
                </c:pt>
                <c:pt idx="8">
                  <c:v>-77.467861730469451</c:v>
                </c:pt>
                <c:pt idx="9">
                  <c:v>-73.232184233185222</c:v>
                </c:pt>
                <c:pt idx="10">
                  <c:v>-72.837096988240006</c:v>
                </c:pt>
                <c:pt idx="11">
                  <c:v>-74.178046712034856</c:v>
                </c:pt>
                <c:pt idx="12">
                  <c:v>-81.29972409800375</c:v>
                </c:pt>
                <c:pt idx="13">
                  <c:v>-80.679130423629232</c:v>
                </c:pt>
                <c:pt idx="14">
                  <c:v>-82.004737238606225</c:v>
                </c:pt>
                <c:pt idx="15">
                  <c:v>-83.801874323547707</c:v>
                </c:pt>
                <c:pt idx="16">
                  <c:v>-80.851592858510401</c:v>
                </c:pt>
                <c:pt idx="17">
                  <c:v>-82.094747201879997</c:v>
                </c:pt>
                <c:pt idx="18">
                  <c:v>-82.221958839163122</c:v>
                </c:pt>
                <c:pt idx="19">
                  <c:v>-77.895487191376461</c:v>
                </c:pt>
                <c:pt idx="20">
                  <c:v>-77.050589426510399</c:v>
                </c:pt>
                <c:pt idx="21">
                  <c:v>-84.853780139381428</c:v>
                </c:pt>
                <c:pt idx="22">
                  <c:v>-85.528893937150656</c:v>
                </c:pt>
                <c:pt idx="23">
                  <c:v>-84.815366171614372</c:v>
                </c:pt>
              </c:numCache>
            </c:numRef>
          </c:xVal>
          <c:yVal>
            <c:numRef>
              <c:f>'243-4'!$G$38:$G$61</c:f>
              <c:numCache>
                <c:formatCode>General</c:formatCode>
                <c:ptCount val="24"/>
                <c:pt idx="0">
                  <c:v>-80.723136611821531</c:v>
                </c:pt>
                <c:pt idx="1">
                  <c:v>26.188245637632011</c:v>
                </c:pt>
                <c:pt idx="2">
                  <c:v>32.021387126508024</c:v>
                </c:pt>
                <c:pt idx="3">
                  <c:v>37.124252317134761</c:v>
                </c:pt>
                <c:pt idx="4">
                  <c:v>38.638172416403684</c:v>
                </c:pt>
                <c:pt idx="5">
                  <c:v>49.96875126028484</c:v>
                </c:pt>
                <c:pt idx="6">
                  <c:v>52.062658818734313</c:v>
                </c:pt>
                <c:pt idx="7">
                  <c:v>53.400041566825784</c:v>
                </c:pt>
                <c:pt idx="8">
                  <c:v>53.242186270934319</c:v>
                </c:pt>
                <c:pt idx="9">
                  <c:v>55.687046899946289</c:v>
                </c:pt>
                <c:pt idx="10">
                  <c:v>68.518299032635923</c:v>
                </c:pt>
                <c:pt idx="11">
                  <c:v>72.894563487184513</c:v>
                </c:pt>
                <c:pt idx="12">
                  <c:v>68.017312954779882</c:v>
                </c:pt>
                <c:pt idx="13">
                  <c:v>77.684476660958623</c:v>
                </c:pt>
                <c:pt idx="14">
                  <c:v>79.191054232325683</c:v>
                </c:pt>
                <c:pt idx="15">
                  <c:v>83.073737485804244</c:v>
                </c:pt>
                <c:pt idx="16">
                  <c:v>85.947774446123205</c:v>
                </c:pt>
                <c:pt idx="17">
                  <c:v>87.524010887638241</c:v>
                </c:pt>
                <c:pt idx="18">
                  <c:v>87.404516385888002</c:v>
                </c:pt>
                <c:pt idx="19">
                  <c:v>96.479495620665972</c:v>
                </c:pt>
                <c:pt idx="20">
                  <c:v>97.155579711241089</c:v>
                </c:pt>
                <c:pt idx="21">
                  <c:v>93.144167804847115</c:v>
                </c:pt>
                <c:pt idx="22">
                  <c:v>92.524636188896395</c:v>
                </c:pt>
                <c:pt idx="23">
                  <c:v>95.866332260992309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'243-4'!$J$12</c:f>
              <c:numCache>
                <c:formatCode>General</c:formatCode>
                <c:ptCount val="1"/>
                <c:pt idx="0">
                  <c:v>14.803887311354053</c:v>
                </c:pt>
              </c:numCache>
            </c:numRef>
          </c:xVal>
          <c:yVal>
            <c:numRef>
              <c:f>'243-4'!$I$12</c:f>
              <c:numCache>
                <c:formatCode>General</c:formatCode>
                <c:ptCount val="1"/>
                <c:pt idx="0">
                  <c:v>50.936894655211546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'243-4'!$J$38</c:f>
              <c:numCache>
                <c:formatCode>General</c:formatCode>
                <c:ptCount val="1"/>
                <c:pt idx="0">
                  <c:v>-81.011521383431869</c:v>
                </c:pt>
              </c:numCache>
            </c:numRef>
          </c:xVal>
          <c:yVal>
            <c:numRef>
              <c:f>'243-4'!$I$38</c:f>
              <c:numCache>
                <c:formatCode>General</c:formatCode>
                <c:ptCount val="1"/>
                <c:pt idx="0">
                  <c:v>62.62648178594015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dLbls>
            <c:numFmt formatCode="#,##0.00" sourceLinked="0"/>
            <c:showVal val="1"/>
            <c:showCatName val="1"/>
          </c:dLbls>
          <c:xVal>
            <c:numRef>
              <c:f>'243-4'!$J$4</c:f>
              <c:numCache>
                <c:formatCode>General</c:formatCode>
                <c:ptCount val="1"/>
                <c:pt idx="0">
                  <c:v>-33.103817036038905</c:v>
                </c:pt>
              </c:numCache>
            </c:numRef>
          </c:xVal>
          <c:yVal>
            <c:numRef>
              <c:f>'243-4'!$I$4</c:f>
              <c:numCache>
                <c:formatCode>General</c:formatCode>
                <c:ptCount val="1"/>
                <c:pt idx="0">
                  <c:v>56.781688220575845</c:v>
                </c:pt>
              </c:numCache>
            </c:numRef>
          </c:yVal>
        </c:ser>
        <c:axId val="88962560"/>
        <c:axId val="88964480"/>
      </c:scatterChart>
      <c:valAx>
        <c:axId val="88962560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8964480"/>
        <c:crosses val="autoZero"/>
        <c:crossBetween val="midCat"/>
      </c:valAx>
      <c:valAx>
        <c:axId val="88964480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896256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КОБЭ 1</c:v>
          </c:tx>
          <c:spPr>
            <a:ln w="28575">
              <a:noFill/>
            </a:ln>
          </c:spPr>
          <c:marker>
            <c:symbol val="diamond"/>
            <c:size val="12"/>
          </c:marker>
          <c:xVal>
            <c:strRef>
              <c:f>шаблон!$H$12:$H$35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xVal>
          <c:yVal>
            <c:numRef>
              <c:f>шаблон!$G$12:$G$35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</c:ser>
        <c:ser>
          <c:idx val="1"/>
          <c:order val="1"/>
          <c:tx>
            <c:v>КОБЭ 2</c:v>
          </c:tx>
          <c:spPr>
            <a:ln w="28575">
              <a:noFill/>
            </a:ln>
          </c:spPr>
          <c:marker>
            <c:symbol val="square"/>
            <c:size val="12"/>
          </c:marker>
          <c:xVal>
            <c:strRef>
              <c:f>шаблон!$H$38:$H$61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xVal>
          <c:yVal>
            <c:numRef>
              <c:f>шаблон!$G$38:$G$61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</c:ser>
        <c:ser>
          <c:idx val="2"/>
          <c:order val="2"/>
          <c:tx>
            <c:v>ЦР1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03D4A8"/>
                  </a:gs>
                  <a:gs pos="25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5400000" scaled="0"/>
              </a:gradFill>
            </c:spPr>
          </c:marker>
          <c:xVal>
            <c:numRef>
              <c:f>шаблон!$J$12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шаблон!$I$12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3"/>
          <c:order val="3"/>
          <c:tx>
            <c:v>ЦР 2</c:v>
          </c:tx>
          <c:spPr>
            <a:ln w="28575">
              <a:noFill/>
            </a:ln>
          </c:spPr>
          <c:marker>
            <c:symbol val="circle"/>
            <c:size val="20"/>
            <c:spPr>
              <a:gradFill>
                <a:gsLst>
                  <a:gs pos="0">
                    <a:srgbClr val="FFF200"/>
                  </a:gs>
                  <a:gs pos="45000">
                    <a:srgbClr val="FF7A00"/>
                  </a:gs>
                  <a:gs pos="70000">
                    <a:srgbClr val="FF0300"/>
                  </a:gs>
                  <a:gs pos="100000">
                    <a:srgbClr val="4D0808"/>
                  </a:gs>
                </a:gsLst>
                <a:lin ang="5400000" scaled="0"/>
              </a:gradFill>
            </c:spPr>
          </c:marker>
          <c:xVal>
            <c:numRef>
              <c:f>шаблон!$J$38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шаблон!$I$38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ser>
          <c:idx val="4"/>
          <c:order val="4"/>
          <c:tx>
            <c:v>Ц НАР</c:v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plus"/>
            <c:size val="24"/>
            <c:spPr>
              <a:solidFill>
                <a:srgbClr val="FF0000"/>
              </a:solidFill>
            </c:spPr>
          </c:marker>
          <c:xVal>
            <c:numRef>
              <c:f>шаблон!$J$4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шаблон!$I$4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</c:ser>
        <c:axId val="87365120"/>
        <c:axId val="87371776"/>
      </c:scatterChart>
      <c:valAx>
        <c:axId val="87365120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 sz="1600"/>
                  <a:t>Боковое</a:t>
                </a:r>
                <a:r>
                  <a:rPr lang="ru-RU" sz="1600" baseline="0"/>
                  <a:t> отклонение (</a:t>
                </a:r>
                <a:r>
                  <a:rPr lang="en-US" sz="1600" baseline="0"/>
                  <a:t>Z)</a:t>
                </a:r>
                <a:endParaRPr lang="ru-RU" sz="1600"/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7371776"/>
        <c:crosses val="autoZero"/>
        <c:crossBetween val="midCat"/>
      </c:valAx>
      <c:valAx>
        <c:axId val="87371776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ru-RU" sz="1600"/>
                  <a:t>Дальность</a:t>
                </a:r>
                <a:r>
                  <a:rPr lang="en-US" sz="1600"/>
                  <a:t> (X)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87365120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2000"/>
          </a:pPr>
          <a:endParaRPr lang="ru-RU"/>
        </a:p>
      </c:txPr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64512</xdr:colOff>
      <xdr:row>15</xdr:row>
      <xdr:rowOff>173181</xdr:rowOff>
    </xdr:from>
    <xdr:to>
      <xdr:col>43</xdr:col>
      <xdr:colOff>23813</xdr:colOff>
      <xdr:row>76</xdr:row>
      <xdr:rowOff>5167313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0.61586</cdr:x>
      <cdr:y>0.02655</cdr:y>
    </cdr:from>
    <cdr:to>
      <cdr:x>0.61627</cdr:x>
      <cdr:y>0.99943</cdr:y>
    </cdr:to>
    <cdr:sp macro="" textlink="">
      <cdr:nvSpPr>
        <cdr:cNvPr id="4" name="Прямая соединительная линия 3"/>
        <cdr:cNvSpPr/>
      </cdr:nvSpPr>
      <cdr:spPr>
        <a:xfrm xmlns:a="http://schemas.openxmlformats.org/drawingml/2006/main" flipV="1">
          <a:off x="14616748" y="441182"/>
          <a:ext cx="9525" cy="16163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18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0.38978</cdr:x>
      <cdr:y>0.00735</cdr:y>
    </cdr:from>
    <cdr:to>
      <cdr:x>0.39018</cdr:x>
      <cdr:y>0.98022</cdr:y>
    </cdr:to>
    <cdr:sp macro="" textlink="">
      <cdr:nvSpPr>
        <cdr:cNvPr id="3" name="Прямая соединительная линия 2"/>
        <cdr:cNvSpPr/>
      </cdr:nvSpPr>
      <cdr:spPr>
        <a:xfrm xmlns:a="http://schemas.openxmlformats.org/drawingml/2006/main" flipV="1">
          <a:off x="9301301" y="122094"/>
          <a:ext cx="9577" cy="16163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0.31504</cdr:x>
      <cdr:y>0.00678</cdr:y>
    </cdr:from>
    <cdr:to>
      <cdr:x>0.31513</cdr:x>
      <cdr:y>0.97993</cdr:y>
    </cdr:to>
    <cdr:sp macro="" textlink="">
      <cdr:nvSpPr>
        <cdr:cNvPr id="7" name="Прямая соединительная линия 6"/>
        <cdr:cNvSpPr/>
      </cdr:nvSpPr>
      <cdr:spPr>
        <a:xfrm xmlns:a="http://schemas.openxmlformats.org/drawingml/2006/main" flipV="1">
          <a:off x="7477125" y="112569"/>
          <a:ext cx="2163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0.08941</cdr:x>
      <cdr:y>0.02684</cdr:y>
    </cdr:from>
    <cdr:to>
      <cdr:x>0.0895</cdr:x>
      <cdr:y>1</cdr:y>
    </cdr:to>
    <cdr:sp macro="" textlink="">
      <cdr:nvSpPr>
        <cdr:cNvPr id="8" name="Прямая соединительная линия 7"/>
        <cdr:cNvSpPr/>
      </cdr:nvSpPr>
      <cdr:spPr>
        <a:xfrm xmlns:a="http://schemas.openxmlformats.org/drawingml/2006/main" flipV="1">
          <a:off x="2129081" y="445944"/>
          <a:ext cx="2170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0.23973</cdr:x>
      <cdr:y>0.02473</cdr:y>
    </cdr:from>
    <cdr:to>
      <cdr:x>0.23982</cdr:x>
      <cdr:y>0.99789</cdr:y>
    </cdr:to>
    <cdr:sp macro="" textlink="">
      <cdr:nvSpPr>
        <cdr:cNvPr id="9" name="Прямая соединительная линия 8"/>
        <cdr:cNvSpPr/>
      </cdr:nvSpPr>
      <cdr:spPr>
        <a:xfrm xmlns:a="http://schemas.openxmlformats.org/drawingml/2006/main" flipV="1">
          <a:off x="5708476" y="410852"/>
          <a:ext cx="2170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0.16457</cdr:x>
      <cdr:y>0.02684</cdr:y>
    </cdr:from>
    <cdr:to>
      <cdr:x>0.16466</cdr:x>
      <cdr:y>1</cdr:y>
    </cdr:to>
    <cdr:sp macro="" textlink="">
      <cdr:nvSpPr>
        <cdr:cNvPr id="10" name="Прямая соединительная линия 9"/>
        <cdr:cNvSpPr/>
      </cdr:nvSpPr>
      <cdr:spPr>
        <a:xfrm xmlns:a="http://schemas.openxmlformats.org/drawingml/2006/main" flipV="1">
          <a:off x="3918778" y="445944"/>
          <a:ext cx="2170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0.5402</cdr:x>
      <cdr:y>0.02663</cdr:y>
    </cdr:from>
    <cdr:to>
      <cdr:x>0.5406</cdr:x>
      <cdr:y>0.9995</cdr:y>
    </cdr:to>
    <cdr:sp macro="" textlink="">
      <cdr:nvSpPr>
        <cdr:cNvPr id="11" name="Прямая соединительная линия 10"/>
        <cdr:cNvSpPr/>
      </cdr:nvSpPr>
      <cdr:spPr>
        <a:xfrm xmlns:a="http://schemas.openxmlformats.org/drawingml/2006/main" flipV="1">
          <a:off x="12890780" y="442424"/>
          <a:ext cx="9577" cy="161639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0.69067</cdr:x>
      <cdr:y>0.02684</cdr:y>
    </cdr:from>
    <cdr:to>
      <cdr:x>0.69077</cdr:x>
      <cdr:y>1</cdr:y>
    </cdr:to>
    <cdr:sp macro="" textlink="">
      <cdr:nvSpPr>
        <cdr:cNvPr id="12" name="Прямая соединительная линия 11"/>
        <cdr:cNvSpPr/>
      </cdr:nvSpPr>
      <cdr:spPr>
        <a:xfrm xmlns:a="http://schemas.openxmlformats.org/drawingml/2006/main" flipV="1">
          <a:off x="16271517" y="969819"/>
          <a:ext cx="2147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0.7663</cdr:x>
      <cdr:y>0.02482</cdr:y>
    </cdr:from>
    <cdr:to>
      <cdr:x>0.76639</cdr:x>
      <cdr:y>0.99798</cdr:y>
    </cdr:to>
    <cdr:sp macro="" textlink="">
      <cdr:nvSpPr>
        <cdr:cNvPr id="13" name="Прямая соединительная линия 12"/>
        <cdr:cNvSpPr/>
      </cdr:nvSpPr>
      <cdr:spPr>
        <a:xfrm xmlns:a="http://schemas.openxmlformats.org/drawingml/2006/main" flipV="1">
          <a:off x="18053253" y="412326"/>
          <a:ext cx="2147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0.84107</cdr:x>
      <cdr:y>0.02684</cdr:y>
    </cdr:from>
    <cdr:to>
      <cdr:x>0.84116</cdr:x>
      <cdr:y>1</cdr:y>
    </cdr:to>
    <cdr:sp macro="" textlink="">
      <cdr:nvSpPr>
        <cdr:cNvPr id="14" name="Прямая соединительная линия 13"/>
        <cdr:cNvSpPr/>
      </cdr:nvSpPr>
      <cdr:spPr>
        <a:xfrm xmlns:a="http://schemas.openxmlformats.org/drawingml/2006/main" flipV="1">
          <a:off x="19814723" y="445944"/>
          <a:ext cx="2147" cy="1616868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cdr:txBody>
    </cdr:sp>
  </cdr:relSizeAnchor>
  <cdr:relSizeAnchor xmlns:cdr="http://schemas.openxmlformats.org/drawingml/2006/chartDrawing">
    <cdr:from>
      <cdr:x>0.01343</cdr:x>
      <cdr:y>0.6148</cdr:y>
    </cdr:from>
    <cdr:to>
      <cdr:x>0.91718</cdr:x>
      <cdr:y>0.61547</cdr:y>
    </cdr:to>
    <cdr:sp macro="" textlink="">
      <cdr:nvSpPr>
        <cdr:cNvPr id="19" name="Прямая соединительная линия 18"/>
        <cdr:cNvSpPr/>
      </cdr:nvSpPr>
      <cdr:spPr>
        <a:xfrm xmlns:a="http://schemas.openxmlformats.org/drawingml/2006/main" flipV="1">
          <a:off x="316488" y="10214672"/>
          <a:ext cx="21291176" cy="1120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</cdr:x>
      <cdr:y>0.41277</cdr:y>
    </cdr:from>
    <cdr:to>
      <cdr:x>0.91606</cdr:x>
      <cdr:y>0.41381</cdr:y>
    </cdr:to>
    <cdr:sp macro="" textlink="">
      <cdr:nvSpPr>
        <cdr:cNvPr id="20" name="Прямая соединительная линия 19"/>
        <cdr:cNvSpPr/>
      </cdr:nvSpPr>
      <cdr:spPr>
        <a:xfrm xmlns:a="http://schemas.openxmlformats.org/drawingml/2006/main" flipV="1">
          <a:off x="0" y="6858001"/>
          <a:ext cx="21617852" cy="1731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0.01683</cdr:x>
      <cdr:y>0.20915</cdr:y>
    </cdr:from>
    <cdr:to>
      <cdr:x>0.91953</cdr:x>
      <cdr:y>0.21185</cdr:y>
    </cdr:to>
    <cdr:sp macro="" textlink="">
      <cdr:nvSpPr>
        <cdr:cNvPr id="21" name="Прямая соединительная линия 20"/>
        <cdr:cNvSpPr/>
      </cdr:nvSpPr>
      <cdr:spPr>
        <a:xfrm xmlns:a="http://schemas.openxmlformats.org/drawingml/2006/main" flipV="1">
          <a:off x="399322" y="3474893"/>
          <a:ext cx="21424616" cy="4490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0.45651</cdr:x>
      <cdr:y>0.80762</cdr:y>
    </cdr:from>
    <cdr:to>
      <cdr:x>0.47477</cdr:x>
      <cdr:y>0.82834</cdr:y>
    </cdr:to>
    <cdr:sp macro="" textlink="">
      <cdr:nvSpPr>
        <cdr:cNvPr id="22" name="Овал 21"/>
        <cdr:cNvSpPr/>
      </cdr:nvSpPr>
      <cdr:spPr>
        <a:xfrm xmlns:a="http://schemas.openxmlformats.org/drawingml/2006/main">
          <a:off x="10808641" y="13418261"/>
          <a:ext cx="432290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0.30632</cdr:x>
      <cdr:y>0.40333</cdr:y>
    </cdr:from>
    <cdr:to>
      <cdr:x>0.32458</cdr:x>
      <cdr:y>0.42405</cdr:y>
    </cdr:to>
    <cdr:sp macro="" textlink="">
      <cdr:nvSpPr>
        <cdr:cNvPr id="23" name="Овал 22"/>
        <cdr:cNvSpPr/>
      </cdr:nvSpPr>
      <cdr:spPr>
        <a:xfrm xmlns:a="http://schemas.openxmlformats.org/drawingml/2006/main">
          <a:off x="7216588" y="6701118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0.23069</cdr:x>
      <cdr:y>0.40265</cdr:y>
    </cdr:from>
    <cdr:to>
      <cdr:x>0.24895</cdr:x>
      <cdr:y>0.42338</cdr:y>
    </cdr:to>
    <cdr:sp macro="" textlink="">
      <cdr:nvSpPr>
        <cdr:cNvPr id="24" name="Овал 23"/>
        <cdr:cNvSpPr/>
      </cdr:nvSpPr>
      <cdr:spPr>
        <a:xfrm xmlns:a="http://schemas.openxmlformats.org/drawingml/2006/main">
          <a:off x="5434853" y="6689912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0.38005</cdr:x>
      <cdr:y>0.404</cdr:y>
    </cdr:from>
    <cdr:to>
      <cdr:x>0.39831</cdr:x>
      <cdr:y>0.42473</cdr:y>
    </cdr:to>
    <cdr:sp macro="" textlink="">
      <cdr:nvSpPr>
        <cdr:cNvPr id="25" name="Овал 24"/>
        <cdr:cNvSpPr/>
      </cdr:nvSpPr>
      <cdr:spPr>
        <a:xfrm xmlns:a="http://schemas.openxmlformats.org/drawingml/2006/main">
          <a:off x="8953500" y="6712323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0.45568</cdr:x>
      <cdr:y>0.40333</cdr:y>
    </cdr:from>
    <cdr:to>
      <cdr:x>0.47393</cdr:x>
      <cdr:y>0.42405</cdr:y>
    </cdr:to>
    <cdr:sp macro="" textlink="">
      <cdr:nvSpPr>
        <cdr:cNvPr id="26" name="Овал 25"/>
        <cdr:cNvSpPr/>
      </cdr:nvSpPr>
      <cdr:spPr>
        <a:xfrm xmlns:a="http://schemas.openxmlformats.org/drawingml/2006/main">
          <a:off x="10735235" y="6701117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0.60598</cdr:x>
      <cdr:y>0.20099</cdr:y>
    </cdr:from>
    <cdr:to>
      <cdr:x>0.62424</cdr:x>
      <cdr:y>0.22172</cdr:y>
    </cdr:to>
    <cdr:sp macro="" textlink="">
      <cdr:nvSpPr>
        <cdr:cNvPr id="27" name="Овал 26"/>
        <cdr:cNvSpPr/>
      </cdr:nvSpPr>
      <cdr:spPr>
        <a:xfrm xmlns:a="http://schemas.openxmlformats.org/drawingml/2006/main">
          <a:off x="14276294" y="3339353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0.68161</cdr:x>
      <cdr:y>0.20031</cdr:y>
    </cdr:from>
    <cdr:to>
      <cdr:x>0.69987</cdr:x>
      <cdr:y>0.22104</cdr:y>
    </cdr:to>
    <cdr:sp macro="" textlink="">
      <cdr:nvSpPr>
        <cdr:cNvPr id="28" name="Овал 27"/>
        <cdr:cNvSpPr/>
      </cdr:nvSpPr>
      <cdr:spPr>
        <a:xfrm xmlns:a="http://schemas.openxmlformats.org/drawingml/2006/main">
          <a:off x="16058029" y="3328148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0.75677</cdr:x>
      <cdr:y>0.20099</cdr:y>
    </cdr:from>
    <cdr:to>
      <cdr:x>0.77502</cdr:x>
      <cdr:y>0.22172</cdr:y>
    </cdr:to>
    <cdr:sp macro="" textlink="">
      <cdr:nvSpPr>
        <cdr:cNvPr id="29" name="Овал 28"/>
        <cdr:cNvSpPr/>
      </cdr:nvSpPr>
      <cdr:spPr>
        <a:xfrm xmlns:a="http://schemas.openxmlformats.org/drawingml/2006/main">
          <a:off x="17828559" y="3339353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0.83239</cdr:x>
      <cdr:y>0.20099</cdr:y>
    </cdr:from>
    <cdr:to>
      <cdr:x>0.85065</cdr:x>
      <cdr:y>0.22172</cdr:y>
    </cdr:to>
    <cdr:sp macro="" textlink="">
      <cdr:nvSpPr>
        <cdr:cNvPr id="30" name="Овал 29"/>
        <cdr:cNvSpPr/>
      </cdr:nvSpPr>
      <cdr:spPr>
        <a:xfrm xmlns:a="http://schemas.openxmlformats.org/drawingml/2006/main">
          <a:off x="19610294" y="3339353"/>
          <a:ext cx="430142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0.38077</cdr:x>
      <cdr:y>0.60462</cdr:y>
    </cdr:from>
    <cdr:to>
      <cdr:x>0.39882</cdr:x>
      <cdr:y>0.62534</cdr:y>
    </cdr:to>
    <cdr:sp macro="" textlink="">
      <cdr:nvSpPr>
        <cdr:cNvPr id="31" name="Овал 30"/>
        <cdr:cNvSpPr/>
      </cdr:nvSpPr>
      <cdr:spPr>
        <a:xfrm xmlns:a="http://schemas.openxmlformats.org/drawingml/2006/main">
          <a:off x="9056649" y="10045506"/>
          <a:ext cx="429151" cy="3443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0.30548</cdr:x>
      <cdr:y>0.60406</cdr:y>
    </cdr:from>
    <cdr:to>
      <cdr:x>0.3237</cdr:x>
      <cdr:y>0.62479</cdr:y>
    </cdr:to>
    <cdr:sp macro="" textlink="">
      <cdr:nvSpPr>
        <cdr:cNvPr id="32" name="Овал 31"/>
        <cdr:cNvSpPr/>
      </cdr:nvSpPr>
      <cdr:spPr>
        <a:xfrm xmlns:a="http://schemas.openxmlformats.org/drawingml/2006/main">
          <a:off x="7289543" y="10036264"/>
          <a:ext cx="434959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0.23039</cdr:x>
      <cdr:y>0.80773</cdr:y>
    </cdr:from>
    <cdr:to>
      <cdr:x>0.24862</cdr:x>
      <cdr:y>0.82845</cdr:y>
    </cdr:to>
    <cdr:sp macro="" textlink="">
      <cdr:nvSpPr>
        <cdr:cNvPr id="33" name="Овал 32"/>
        <cdr:cNvSpPr/>
      </cdr:nvSpPr>
      <cdr:spPr>
        <a:xfrm xmlns:a="http://schemas.openxmlformats.org/drawingml/2006/main">
          <a:off x="5467964" y="13420069"/>
          <a:ext cx="432604" cy="344366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0.38141</cdr:x>
      <cdr:y>0.80834</cdr:y>
    </cdr:from>
    <cdr:to>
      <cdr:x>0.39945</cdr:x>
      <cdr:y>0.82907</cdr:y>
    </cdr:to>
    <cdr:sp macro="" textlink="">
      <cdr:nvSpPr>
        <cdr:cNvPr id="34" name="Овал 33"/>
        <cdr:cNvSpPr/>
      </cdr:nvSpPr>
      <cdr:spPr>
        <a:xfrm xmlns:a="http://schemas.openxmlformats.org/drawingml/2006/main">
          <a:off x="9052203" y="13430250"/>
          <a:ext cx="428227" cy="3443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0.15509</cdr:x>
      <cdr:y>0.80834</cdr:y>
    </cdr:from>
    <cdr:to>
      <cdr:x>0.17314</cdr:x>
      <cdr:y>0.82907</cdr:y>
    </cdr:to>
    <cdr:sp macro="" textlink="">
      <cdr:nvSpPr>
        <cdr:cNvPr id="35" name="Овал 34"/>
        <cdr:cNvSpPr/>
      </cdr:nvSpPr>
      <cdr:spPr>
        <a:xfrm xmlns:a="http://schemas.openxmlformats.org/drawingml/2006/main">
          <a:off x="3680925" y="13430250"/>
          <a:ext cx="428226" cy="3443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0.30577</cdr:x>
      <cdr:y>0.80777</cdr:y>
    </cdr:from>
    <cdr:to>
      <cdr:x>0.32382</cdr:x>
      <cdr:y>0.82849</cdr:y>
    </cdr:to>
    <cdr:sp macro="" textlink="">
      <cdr:nvSpPr>
        <cdr:cNvPr id="36" name="Овал 35"/>
        <cdr:cNvSpPr/>
      </cdr:nvSpPr>
      <cdr:spPr>
        <a:xfrm xmlns:a="http://schemas.openxmlformats.org/drawingml/2006/main">
          <a:off x="7257148" y="13420725"/>
          <a:ext cx="428226" cy="3443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0.46979</cdr:x>
      <cdr:y>0.83305</cdr:y>
    </cdr:from>
    <cdr:to>
      <cdr:x>0.50832</cdr:x>
      <cdr:y>0.88809</cdr:y>
    </cdr:to>
    <cdr:sp macro="" textlink="">
      <cdr:nvSpPr>
        <cdr:cNvPr id="37" name="TextBox 36"/>
        <cdr:cNvSpPr txBox="1"/>
      </cdr:nvSpPr>
      <cdr:spPr>
        <a:xfrm xmlns:a="http://schemas.openxmlformats.org/drawingml/2006/main">
          <a:off x="11199661" y="13840815"/>
          <a:ext cx="918489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3200">
              <a:latin typeface="Arial Black" pitchFamily="34" charset="0"/>
            </a:rPr>
            <a:t>243</a:t>
          </a:r>
        </a:p>
      </cdr:txBody>
    </cdr:sp>
  </cdr:relSizeAnchor>
  <cdr:relSizeAnchor xmlns:cdr="http://schemas.openxmlformats.org/drawingml/2006/chartDrawing">
    <cdr:from>
      <cdr:x>0.455</cdr:x>
      <cdr:y>0.60456</cdr:y>
    </cdr:from>
    <cdr:to>
      <cdr:x>0.47332</cdr:x>
      <cdr:y>0.62529</cdr:y>
    </cdr:to>
    <cdr:sp macro="" textlink="">
      <cdr:nvSpPr>
        <cdr:cNvPr id="38" name="Овал 37"/>
        <cdr:cNvSpPr/>
      </cdr:nvSpPr>
      <cdr:spPr>
        <a:xfrm xmlns:a="http://schemas.openxmlformats.org/drawingml/2006/main">
          <a:off x="10737272" y="10044546"/>
          <a:ext cx="432454" cy="34436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25400" cap="flat" cmpd="sng" algn="ctr">
          <a:solidFill>
            <a:sysClr val="windowText" lastClr="00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0.47187</cdr:x>
      <cdr:y>0.55557</cdr:y>
    </cdr:from>
    <cdr:to>
      <cdr:x>0.5104</cdr:x>
      <cdr:y>0.61061</cdr:y>
    </cdr:to>
    <cdr:sp macro="" textlink="">
      <cdr:nvSpPr>
        <cdr:cNvPr id="39" name="TextBox 1"/>
        <cdr:cNvSpPr txBox="1"/>
      </cdr:nvSpPr>
      <cdr:spPr>
        <a:xfrm xmlns:a="http://schemas.openxmlformats.org/drawingml/2006/main">
          <a:off x="11135591" y="9230591"/>
          <a:ext cx="90919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242</a:t>
          </a:r>
        </a:p>
      </cdr:txBody>
    </cdr:sp>
  </cdr:relSizeAnchor>
  <cdr:relSizeAnchor xmlns:cdr="http://schemas.openxmlformats.org/drawingml/2006/chartDrawing">
    <cdr:from>
      <cdr:x>0.47408</cdr:x>
      <cdr:y>0.35231</cdr:y>
    </cdr:from>
    <cdr:to>
      <cdr:x>0.5126</cdr:x>
      <cdr:y>0.40735</cdr:y>
    </cdr:to>
    <cdr:sp macro="" textlink="">
      <cdr:nvSpPr>
        <cdr:cNvPr id="40" name="TextBox 1"/>
        <cdr:cNvSpPr txBox="1"/>
      </cdr:nvSpPr>
      <cdr:spPr>
        <a:xfrm xmlns:a="http://schemas.openxmlformats.org/drawingml/2006/main">
          <a:off x="11187546" y="5853545"/>
          <a:ext cx="90919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241</a:t>
          </a:r>
        </a:p>
      </cdr:txBody>
    </cdr:sp>
  </cdr:relSizeAnchor>
  <cdr:relSizeAnchor xmlns:cdr="http://schemas.openxmlformats.org/drawingml/2006/chartDrawing">
    <cdr:from>
      <cdr:x>0.46804</cdr:x>
      <cdr:y>0.16457</cdr:y>
    </cdr:from>
    <cdr:to>
      <cdr:x>0.50657</cdr:x>
      <cdr:y>0.2196</cdr:y>
    </cdr:to>
    <cdr:sp macro="" textlink="">
      <cdr:nvSpPr>
        <cdr:cNvPr id="41" name="TextBox 1"/>
        <cdr:cNvSpPr txBox="1"/>
      </cdr:nvSpPr>
      <cdr:spPr>
        <a:xfrm xmlns:a="http://schemas.openxmlformats.org/drawingml/2006/main">
          <a:off x="11026588" y="2734235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240</a:t>
          </a:r>
        </a:p>
      </cdr:txBody>
    </cdr:sp>
  </cdr:relSizeAnchor>
  <cdr:relSizeAnchor xmlns:cdr="http://schemas.openxmlformats.org/drawingml/2006/chartDrawing">
    <cdr:from>
      <cdr:x>0.02009</cdr:x>
      <cdr:y>0.86975</cdr:y>
    </cdr:from>
    <cdr:to>
      <cdr:x>0.0591</cdr:x>
      <cdr:y>0.96822</cdr:y>
    </cdr:to>
    <cdr:sp macro="" textlink="">
      <cdr:nvSpPr>
        <cdr:cNvPr id="42" name="Стрелка вниз 41"/>
        <cdr:cNvSpPr/>
      </cdr:nvSpPr>
      <cdr:spPr>
        <a:xfrm xmlns:a="http://schemas.openxmlformats.org/drawingml/2006/main" rot="10800000">
          <a:off x="473370" y="14450495"/>
          <a:ext cx="918882" cy="1636059"/>
        </a:xfrm>
        <a:prstGeom xmlns:a="http://schemas.openxmlformats.org/drawingml/2006/main" prst="downArrow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0.02342</cdr:x>
      <cdr:y>0.94496</cdr:y>
    </cdr:from>
    <cdr:to>
      <cdr:x>0.06224</cdr:x>
      <cdr:y>1</cdr:y>
    </cdr:to>
    <cdr:sp macro="" textlink="">
      <cdr:nvSpPr>
        <cdr:cNvPr id="43" name="TextBox 42"/>
        <cdr:cNvSpPr txBox="1"/>
      </cdr:nvSpPr>
      <cdr:spPr>
        <a:xfrm xmlns:a="http://schemas.openxmlformats.org/drawingml/2006/main">
          <a:off x="551811" y="1578399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0.00761</cdr:x>
      <cdr:y>0.94496</cdr:y>
    </cdr:from>
    <cdr:to>
      <cdr:x>0.04614</cdr:x>
      <cdr:y>1</cdr:y>
    </cdr:to>
    <cdr:sp macro="" textlink="">
      <cdr:nvSpPr>
        <cdr:cNvPr id="44" name="TextBox 1"/>
        <cdr:cNvSpPr txBox="1"/>
      </cdr:nvSpPr>
      <cdr:spPr>
        <a:xfrm xmlns:a="http://schemas.openxmlformats.org/drawingml/2006/main">
          <a:off x="179294" y="15778674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Курс 270</a:t>
          </a:r>
        </a:p>
      </cdr:txBody>
    </cdr:sp>
  </cdr:relSizeAnchor>
  <cdr:relSizeAnchor xmlns:cdr="http://schemas.openxmlformats.org/drawingml/2006/chartDrawing">
    <cdr:from>
      <cdr:x>0.06326</cdr:x>
      <cdr:y>0.01281</cdr:y>
    </cdr:from>
    <cdr:to>
      <cdr:x>0.10179</cdr:x>
      <cdr:y>0.06785</cdr:y>
    </cdr:to>
    <cdr:sp macro="" textlink="">
      <cdr:nvSpPr>
        <cdr:cNvPr id="45" name="TextBox 1"/>
        <cdr:cNvSpPr txBox="1"/>
      </cdr:nvSpPr>
      <cdr:spPr>
        <a:xfrm xmlns:a="http://schemas.openxmlformats.org/drawingml/2006/main">
          <a:off x="1490382" y="212912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Номер</a:t>
          </a:r>
          <a:r>
            <a:rPr lang="ru-RU" sz="3200" baseline="0">
              <a:latin typeface="Arial Black" pitchFamily="34" charset="0"/>
            </a:rPr>
            <a:t> мишени</a:t>
          </a:r>
          <a:endParaRPr lang="ru-RU" sz="3200">
            <a:latin typeface="Arial Black" pitchFamily="34" charset="0"/>
          </a:endParaRPr>
        </a:p>
      </cdr:txBody>
    </cdr:sp>
  </cdr:relSizeAnchor>
  <cdr:relSizeAnchor xmlns:cdr="http://schemas.openxmlformats.org/drawingml/2006/chartDrawing">
    <cdr:from>
      <cdr:x>0.1465</cdr:x>
      <cdr:y>0.00674</cdr:y>
    </cdr:from>
    <cdr:to>
      <cdr:x>0.18503</cdr:x>
      <cdr:y>0.06178</cdr:y>
    </cdr:to>
    <cdr:sp macro="" textlink="">
      <cdr:nvSpPr>
        <cdr:cNvPr id="46" name="TextBox 1"/>
        <cdr:cNvSpPr txBox="1"/>
      </cdr:nvSpPr>
      <cdr:spPr>
        <a:xfrm xmlns:a="http://schemas.openxmlformats.org/drawingml/2006/main">
          <a:off x="3451412" y="112059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ru-RU" sz="3200">
            <a:latin typeface="Arial Black" pitchFamily="34" charset="0"/>
          </a:endParaRPr>
        </a:p>
      </cdr:txBody>
    </cdr:sp>
  </cdr:relSizeAnchor>
  <cdr:relSizeAnchor xmlns:cdr="http://schemas.openxmlformats.org/drawingml/2006/chartDrawing">
    <cdr:from>
      <cdr:x>0.22118</cdr:x>
      <cdr:y>0.00674</cdr:y>
    </cdr:from>
    <cdr:to>
      <cdr:x>0.25971</cdr:x>
      <cdr:y>0.06178</cdr:y>
    </cdr:to>
    <cdr:sp macro="" textlink="">
      <cdr:nvSpPr>
        <cdr:cNvPr id="47" name="TextBox 1"/>
        <cdr:cNvSpPr txBox="1"/>
      </cdr:nvSpPr>
      <cdr:spPr>
        <a:xfrm xmlns:a="http://schemas.openxmlformats.org/drawingml/2006/main">
          <a:off x="5210735" y="112059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0.29491</cdr:x>
      <cdr:y>0.01012</cdr:y>
    </cdr:from>
    <cdr:to>
      <cdr:x>0.33343</cdr:x>
      <cdr:y>0.06515</cdr:y>
    </cdr:to>
    <cdr:sp macro="" textlink="">
      <cdr:nvSpPr>
        <cdr:cNvPr id="48" name="TextBox 1"/>
        <cdr:cNvSpPr txBox="1"/>
      </cdr:nvSpPr>
      <cdr:spPr>
        <a:xfrm xmlns:a="http://schemas.openxmlformats.org/drawingml/2006/main">
          <a:off x="6947647" y="168088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0.37101</cdr:x>
      <cdr:y>0</cdr:y>
    </cdr:from>
    <cdr:to>
      <cdr:x>0.40954</cdr:x>
      <cdr:y>0.05504</cdr:y>
    </cdr:to>
    <cdr:sp macro="" textlink="">
      <cdr:nvSpPr>
        <cdr:cNvPr id="49" name="TextBox 1"/>
        <cdr:cNvSpPr txBox="1"/>
      </cdr:nvSpPr>
      <cdr:spPr>
        <a:xfrm xmlns:a="http://schemas.openxmlformats.org/drawingml/2006/main">
          <a:off x="8740588" y="0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3</a:t>
          </a:r>
        </a:p>
      </cdr:txBody>
    </cdr:sp>
  </cdr:relSizeAnchor>
  <cdr:relSizeAnchor xmlns:cdr="http://schemas.openxmlformats.org/drawingml/2006/chartDrawing">
    <cdr:from>
      <cdr:x>0.45996</cdr:x>
      <cdr:y>0.00337</cdr:y>
    </cdr:from>
    <cdr:to>
      <cdr:x>0.49849</cdr:x>
      <cdr:y>0.05841</cdr:y>
    </cdr:to>
    <cdr:sp macro="" textlink="">
      <cdr:nvSpPr>
        <cdr:cNvPr id="50" name="TextBox 1"/>
        <cdr:cNvSpPr txBox="1"/>
      </cdr:nvSpPr>
      <cdr:spPr>
        <a:xfrm xmlns:a="http://schemas.openxmlformats.org/drawingml/2006/main">
          <a:off x="10836088" y="56029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0.53416</cdr:x>
      <cdr:y>0</cdr:y>
    </cdr:from>
    <cdr:to>
      <cdr:x>0.57269</cdr:x>
      <cdr:y>0.05504</cdr:y>
    </cdr:to>
    <cdr:sp macro="" textlink="">
      <cdr:nvSpPr>
        <cdr:cNvPr id="51" name="TextBox 1"/>
        <cdr:cNvSpPr txBox="1"/>
      </cdr:nvSpPr>
      <cdr:spPr>
        <a:xfrm xmlns:a="http://schemas.openxmlformats.org/drawingml/2006/main">
          <a:off x="12584206" y="0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0.60646</cdr:x>
      <cdr:y>0</cdr:y>
    </cdr:from>
    <cdr:to>
      <cdr:x>0.64499</cdr:x>
      <cdr:y>0.05504</cdr:y>
    </cdr:to>
    <cdr:sp macro="" textlink="">
      <cdr:nvSpPr>
        <cdr:cNvPr id="52" name="TextBox 1"/>
        <cdr:cNvSpPr txBox="1"/>
      </cdr:nvSpPr>
      <cdr:spPr>
        <a:xfrm xmlns:a="http://schemas.openxmlformats.org/drawingml/2006/main">
          <a:off x="14287500" y="0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0.67876</cdr:x>
      <cdr:y>0</cdr:y>
    </cdr:from>
    <cdr:to>
      <cdr:x>0.71729</cdr:x>
      <cdr:y>0.05504</cdr:y>
    </cdr:to>
    <cdr:sp macro="" textlink="">
      <cdr:nvSpPr>
        <cdr:cNvPr id="53" name="TextBox 1"/>
        <cdr:cNvSpPr txBox="1"/>
      </cdr:nvSpPr>
      <cdr:spPr>
        <a:xfrm xmlns:a="http://schemas.openxmlformats.org/drawingml/2006/main">
          <a:off x="15990794" y="0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0.762</cdr:x>
      <cdr:y>0.00405</cdr:y>
    </cdr:from>
    <cdr:to>
      <cdr:x>0.80053</cdr:x>
      <cdr:y>0.05908</cdr:y>
    </cdr:to>
    <cdr:sp macro="" textlink="">
      <cdr:nvSpPr>
        <cdr:cNvPr id="54" name="TextBox 1"/>
        <cdr:cNvSpPr txBox="1"/>
      </cdr:nvSpPr>
      <cdr:spPr>
        <a:xfrm xmlns:a="http://schemas.openxmlformats.org/drawingml/2006/main">
          <a:off x="17951824" y="67236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8</a:t>
          </a:r>
        </a:p>
      </cdr:txBody>
    </cdr:sp>
  </cdr:relSizeAnchor>
  <cdr:relSizeAnchor xmlns:cdr="http://schemas.openxmlformats.org/drawingml/2006/chartDrawing">
    <cdr:from>
      <cdr:x>0.8381</cdr:x>
      <cdr:y>0.00337</cdr:y>
    </cdr:from>
    <cdr:to>
      <cdr:x>0.87663</cdr:x>
      <cdr:y>0.05841</cdr:y>
    </cdr:to>
    <cdr:sp macro="" textlink="">
      <cdr:nvSpPr>
        <cdr:cNvPr id="55" name="TextBox 1"/>
        <cdr:cNvSpPr txBox="1"/>
      </cdr:nvSpPr>
      <cdr:spPr>
        <a:xfrm xmlns:a="http://schemas.openxmlformats.org/drawingml/2006/main">
          <a:off x="19744765" y="56030"/>
          <a:ext cx="90766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3200">
              <a:latin typeface="Arial Black" pitchFamily="34" charset="0"/>
            </a:rPr>
            <a:t>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190500</xdr:colOff>
      <xdr:row>6</xdr:row>
      <xdr:rowOff>95250</xdr:rowOff>
    </xdr:from>
    <xdr:to>
      <xdr:col>85</xdr:col>
      <xdr:colOff>27214</xdr:colOff>
      <xdr:row>23</xdr:row>
      <xdr:rowOff>489857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113</xdr:row>
      <xdr:rowOff>65871</xdr:rowOff>
    </xdr:from>
    <xdr:to>
      <xdr:col>22</xdr:col>
      <xdr:colOff>86590</xdr:colOff>
      <xdr:row>186</xdr:row>
      <xdr:rowOff>309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63</xdr:row>
      <xdr:rowOff>138545</xdr:rowOff>
    </xdr:from>
    <xdr:to>
      <xdr:col>22</xdr:col>
      <xdr:colOff>277090</xdr:colOff>
      <xdr:row>136</xdr:row>
      <xdr:rowOff>86590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356755</xdr:colOff>
      <xdr:row>61</xdr:row>
      <xdr:rowOff>248145</xdr:rowOff>
    </xdr:from>
    <xdr:to>
      <xdr:col>56</xdr:col>
      <xdr:colOff>138545</xdr:colOff>
      <xdr:row>132</xdr:row>
      <xdr:rowOff>61108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346364</xdr:colOff>
      <xdr:row>63</xdr:row>
      <xdr:rowOff>69272</xdr:rowOff>
    </xdr:from>
    <xdr:to>
      <xdr:col>22</xdr:col>
      <xdr:colOff>432954</xdr:colOff>
      <xdr:row>136</xdr:row>
      <xdr:rowOff>17317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C4:BR92"/>
  <sheetViews>
    <sheetView tabSelected="1" topLeftCell="G58" zoomScaleNormal="100" workbookViewId="0">
      <selection activeCell="AF95" sqref="AF95"/>
    </sheetView>
  </sheetViews>
  <sheetFormatPr defaultRowHeight="15"/>
  <cols>
    <col min="1" max="10" width="9.140625" style="33"/>
    <col min="11" max="18" width="9.140625" style="71"/>
    <col min="19" max="57" width="9.140625" style="33"/>
    <col min="58" max="61" width="9.140625" style="71"/>
    <col min="62" max="16384" width="9.140625" style="33"/>
  </cols>
  <sheetData>
    <row r="4" spans="3:70" ht="27" thickBot="1">
      <c r="E4" s="105" t="s">
        <v>86</v>
      </c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</row>
    <row r="5" spans="3:70" ht="18.75">
      <c r="C5" s="131" t="s">
        <v>85</v>
      </c>
      <c r="D5" s="131"/>
      <c r="E5" s="128">
        <v>1</v>
      </c>
      <c r="F5" s="129"/>
      <c r="G5" s="129"/>
      <c r="H5" s="129"/>
      <c r="I5" s="129"/>
      <c r="J5" s="130"/>
      <c r="K5" s="128">
        <v>2</v>
      </c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30"/>
      <c r="Y5" s="128">
        <v>3</v>
      </c>
      <c r="Z5" s="129"/>
      <c r="AA5" s="129"/>
      <c r="AB5" s="129"/>
      <c r="AC5" s="129"/>
      <c r="AD5" s="130"/>
      <c r="AE5" s="128">
        <v>4</v>
      </c>
      <c r="AF5" s="129"/>
      <c r="AG5" s="129"/>
      <c r="AH5" s="129"/>
      <c r="AI5" s="129"/>
      <c r="AJ5" s="130"/>
      <c r="AK5" s="128">
        <v>5</v>
      </c>
      <c r="AL5" s="129"/>
      <c r="AM5" s="129"/>
      <c r="AN5" s="129"/>
      <c r="AO5" s="129"/>
      <c r="AP5" s="130"/>
      <c r="AQ5" s="128">
        <v>6</v>
      </c>
      <c r="AR5" s="129"/>
      <c r="AS5" s="129"/>
      <c r="AT5" s="129"/>
      <c r="AU5" s="129"/>
      <c r="AV5" s="130"/>
      <c r="AW5" s="128">
        <v>7</v>
      </c>
      <c r="AX5" s="129"/>
      <c r="AY5" s="129"/>
      <c r="AZ5" s="129"/>
      <c r="BA5" s="129"/>
      <c r="BB5" s="129"/>
      <c r="BC5" s="129"/>
      <c r="BD5" s="129"/>
      <c r="BE5" s="129"/>
      <c r="BF5" s="130"/>
      <c r="BG5" s="128">
        <v>8</v>
      </c>
      <c r="BH5" s="129"/>
      <c r="BI5" s="129"/>
      <c r="BJ5" s="129"/>
      <c r="BK5" s="129"/>
      <c r="BL5" s="130"/>
      <c r="BM5" s="128">
        <v>9</v>
      </c>
      <c r="BN5" s="129"/>
      <c r="BO5" s="129"/>
      <c r="BP5" s="129"/>
      <c r="BQ5" s="129"/>
      <c r="BR5" s="130"/>
    </row>
    <row r="6" spans="3:70" ht="33" customHeight="1">
      <c r="C6" s="131"/>
      <c r="D6" s="131"/>
      <c r="E6" s="132" t="s">
        <v>87</v>
      </c>
      <c r="F6" s="133"/>
      <c r="G6" s="133" t="s">
        <v>88</v>
      </c>
      <c r="H6" s="133"/>
      <c r="I6" s="133" t="s">
        <v>89</v>
      </c>
      <c r="J6" s="134"/>
      <c r="K6" s="132" t="s">
        <v>87</v>
      </c>
      <c r="L6" s="133"/>
      <c r="M6" s="133" t="s">
        <v>88</v>
      </c>
      <c r="N6" s="133"/>
      <c r="O6" s="132" t="s">
        <v>95</v>
      </c>
      <c r="P6" s="133"/>
      <c r="Q6" s="133" t="s">
        <v>96</v>
      </c>
      <c r="R6" s="133"/>
      <c r="S6" s="132" t="s">
        <v>97</v>
      </c>
      <c r="T6" s="133"/>
      <c r="U6" s="133" t="s">
        <v>98</v>
      </c>
      <c r="V6" s="133"/>
      <c r="W6" s="133" t="s">
        <v>89</v>
      </c>
      <c r="X6" s="134"/>
      <c r="Y6" s="132" t="s">
        <v>87</v>
      </c>
      <c r="Z6" s="133"/>
      <c r="AA6" s="133" t="s">
        <v>88</v>
      </c>
      <c r="AB6" s="133"/>
      <c r="AC6" s="133" t="s">
        <v>89</v>
      </c>
      <c r="AD6" s="134"/>
      <c r="AE6" s="132" t="s">
        <v>87</v>
      </c>
      <c r="AF6" s="133"/>
      <c r="AG6" s="133" t="s">
        <v>88</v>
      </c>
      <c r="AH6" s="133"/>
      <c r="AI6" s="133" t="s">
        <v>89</v>
      </c>
      <c r="AJ6" s="134"/>
      <c r="AK6" s="132" t="s">
        <v>87</v>
      </c>
      <c r="AL6" s="133"/>
      <c r="AM6" s="133" t="s">
        <v>88</v>
      </c>
      <c r="AN6" s="133"/>
      <c r="AO6" s="133" t="s">
        <v>89</v>
      </c>
      <c r="AP6" s="134"/>
      <c r="AQ6" s="132" t="s">
        <v>87</v>
      </c>
      <c r="AR6" s="133"/>
      <c r="AS6" s="133" t="s">
        <v>88</v>
      </c>
      <c r="AT6" s="133"/>
      <c r="AU6" s="133" t="s">
        <v>89</v>
      </c>
      <c r="AV6" s="134"/>
      <c r="AW6" s="132" t="s">
        <v>87</v>
      </c>
      <c r="AX6" s="133"/>
      <c r="AY6" s="133" t="s">
        <v>88</v>
      </c>
      <c r="AZ6" s="133"/>
      <c r="BA6" s="133" t="s">
        <v>95</v>
      </c>
      <c r="BB6" s="133"/>
      <c r="BC6" s="133" t="s">
        <v>96</v>
      </c>
      <c r="BD6" s="133"/>
      <c r="BE6" s="133" t="s">
        <v>89</v>
      </c>
      <c r="BF6" s="134"/>
      <c r="BG6" s="132" t="s">
        <v>87</v>
      </c>
      <c r="BH6" s="133"/>
      <c r="BI6" s="133" t="s">
        <v>88</v>
      </c>
      <c r="BJ6" s="133"/>
      <c r="BK6" s="133" t="s">
        <v>89</v>
      </c>
      <c r="BL6" s="134"/>
      <c r="BM6" s="132" t="s">
        <v>87</v>
      </c>
      <c r="BN6" s="133"/>
      <c r="BO6" s="133" t="s">
        <v>88</v>
      </c>
      <c r="BP6" s="133"/>
      <c r="BQ6" s="133" t="s">
        <v>89</v>
      </c>
      <c r="BR6" s="134"/>
    </row>
    <row r="7" spans="3:70" ht="15" customHeight="1" thickBot="1">
      <c r="C7" s="133" t="s">
        <v>90</v>
      </c>
      <c r="D7" s="134"/>
      <c r="E7" s="135" t="s">
        <v>3</v>
      </c>
      <c r="F7" s="136" t="s">
        <v>21</v>
      </c>
      <c r="G7" s="136" t="s">
        <v>3</v>
      </c>
      <c r="H7" s="136" t="s">
        <v>21</v>
      </c>
      <c r="I7" s="136" t="s">
        <v>3</v>
      </c>
      <c r="J7" s="137" t="s">
        <v>21</v>
      </c>
      <c r="K7" s="139" t="s">
        <v>3</v>
      </c>
      <c r="L7" s="138" t="s">
        <v>21</v>
      </c>
      <c r="M7" s="138" t="s">
        <v>3</v>
      </c>
      <c r="N7" s="138" t="s">
        <v>21</v>
      </c>
      <c r="O7" s="139" t="s">
        <v>3</v>
      </c>
      <c r="P7" s="138" t="s">
        <v>21</v>
      </c>
      <c r="Q7" s="138" t="s">
        <v>3</v>
      </c>
      <c r="R7" s="138" t="s">
        <v>21</v>
      </c>
      <c r="S7" s="139" t="s">
        <v>3</v>
      </c>
      <c r="T7" s="138" t="s">
        <v>21</v>
      </c>
      <c r="U7" s="138" t="s">
        <v>3</v>
      </c>
      <c r="V7" s="138" t="s">
        <v>21</v>
      </c>
      <c r="W7" s="138" t="s">
        <v>3</v>
      </c>
      <c r="X7" s="140" t="s">
        <v>21</v>
      </c>
      <c r="Y7" s="135" t="s">
        <v>3</v>
      </c>
      <c r="Z7" s="136" t="s">
        <v>21</v>
      </c>
      <c r="AA7" s="136" t="s">
        <v>3</v>
      </c>
      <c r="AB7" s="136" t="s">
        <v>21</v>
      </c>
      <c r="AC7" s="136" t="s">
        <v>3</v>
      </c>
      <c r="AD7" s="137" t="s">
        <v>21</v>
      </c>
      <c r="AE7" s="135" t="s">
        <v>3</v>
      </c>
      <c r="AF7" s="136" t="s">
        <v>21</v>
      </c>
      <c r="AG7" s="136" t="s">
        <v>3</v>
      </c>
      <c r="AH7" s="136" t="s">
        <v>21</v>
      </c>
      <c r="AI7" s="136" t="s">
        <v>3</v>
      </c>
      <c r="AJ7" s="137" t="s">
        <v>21</v>
      </c>
      <c r="AK7" s="135" t="s">
        <v>3</v>
      </c>
      <c r="AL7" s="136" t="s">
        <v>21</v>
      </c>
      <c r="AM7" s="136" t="s">
        <v>3</v>
      </c>
      <c r="AN7" s="136" t="s">
        <v>21</v>
      </c>
      <c r="AO7" s="136" t="s">
        <v>3</v>
      </c>
      <c r="AP7" s="137" t="s">
        <v>21</v>
      </c>
      <c r="AQ7" s="135" t="s">
        <v>3</v>
      </c>
      <c r="AR7" s="136" t="s">
        <v>21</v>
      </c>
      <c r="AS7" s="136" t="s">
        <v>3</v>
      </c>
      <c r="AT7" s="136" t="s">
        <v>21</v>
      </c>
      <c r="AU7" s="136" t="s">
        <v>3</v>
      </c>
      <c r="AV7" s="137" t="s">
        <v>21</v>
      </c>
      <c r="AW7" s="139" t="s">
        <v>3</v>
      </c>
      <c r="AX7" s="138" t="s">
        <v>21</v>
      </c>
      <c r="AY7" s="138" t="s">
        <v>3</v>
      </c>
      <c r="AZ7" s="138" t="s">
        <v>21</v>
      </c>
      <c r="BA7" s="138" t="s">
        <v>3</v>
      </c>
      <c r="BB7" s="140" t="s">
        <v>21</v>
      </c>
      <c r="BC7" s="139" t="s">
        <v>3</v>
      </c>
      <c r="BD7" s="138" t="s">
        <v>21</v>
      </c>
      <c r="BE7" s="138" t="s">
        <v>3</v>
      </c>
      <c r="BF7" s="140" t="s">
        <v>21</v>
      </c>
      <c r="BG7" s="138" t="s">
        <v>3</v>
      </c>
      <c r="BH7" s="138" t="s">
        <v>21</v>
      </c>
      <c r="BI7" s="139" t="s">
        <v>3</v>
      </c>
      <c r="BJ7" s="138" t="s">
        <v>21</v>
      </c>
      <c r="BK7" s="138" t="s">
        <v>3</v>
      </c>
      <c r="BL7" s="140" t="s">
        <v>21</v>
      </c>
      <c r="BM7" s="135" t="s">
        <v>3</v>
      </c>
      <c r="BN7" s="136" t="s">
        <v>21</v>
      </c>
      <c r="BO7" s="136" t="s">
        <v>3</v>
      </c>
      <c r="BP7" s="136" t="s">
        <v>21</v>
      </c>
      <c r="BQ7" s="136" t="s">
        <v>3</v>
      </c>
      <c r="BR7" s="137" t="s">
        <v>21</v>
      </c>
    </row>
    <row r="8" spans="3:70" ht="15.75" customHeight="1">
      <c r="C8" s="105">
        <v>243</v>
      </c>
      <c r="D8" s="105"/>
      <c r="E8" s="118">
        <f>'243-1  '!I12</f>
        <v>82.838851993640688</v>
      </c>
      <c r="F8" s="119">
        <f>'243-1  '!J12</f>
        <v>-6.9653993063906148</v>
      </c>
      <c r="G8" s="119">
        <f>'243-1  '!I38</f>
        <v>78.880305505723911</v>
      </c>
      <c r="H8" s="119">
        <f>'243-1  '!J38</f>
        <v>-116.91867370054128</v>
      </c>
      <c r="I8" s="119">
        <f>'243-1  '!I4</f>
        <v>80.859578749682299</v>
      </c>
      <c r="J8" s="120">
        <f>'243-1  '!J4</f>
        <v>-61.942036503465943</v>
      </c>
      <c r="K8" s="119">
        <f>'243-2'!I12</f>
        <v>56.136428216009506</v>
      </c>
      <c r="L8" s="119">
        <f>'243-2'!J12</f>
        <v>-72.515276530724648</v>
      </c>
      <c r="M8" s="119">
        <f>'243-2'!I38</f>
        <v>36.312577962940004</v>
      </c>
      <c r="N8" s="119">
        <f>'243-2'!J38</f>
        <v>-27.177381646365575</v>
      </c>
      <c r="O8" s="119"/>
      <c r="P8" s="119"/>
      <c r="Q8" s="119"/>
      <c r="R8" s="119"/>
      <c r="S8" s="119"/>
      <c r="T8" s="119"/>
      <c r="U8" s="119"/>
      <c r="V8" s="119"/>
      <c r="W8" s="119">
        <f>'243-2'!I4</f>
        <v>46.224503089474752</v>
      </c>
      <c r="X8" s="120">
        <f>'243-2'!J4</f>
        <v>-49.846329088545112</v>
      </c>
      <c r="Y8" s="119">
        <f>'243-3 '!I12</f>
        <v>79.181424539889463</v>
      </c>
      <c r="Z8" s="119">
        <f>'243-3 '!J12</f>
        <v>101.31865888817124</v>
      </c>
      <c r="AA8" s="119">
        <f>'243-3 '!I38</f>
        <v>56.343637189560305</v>
      </c>
      <c r="AB8" s="119">
        <f>'243-3 '!J38</f>
        <v>48.153307458691394</v>
      </c>
      <c r="AC8" s="119">
        <f>'243-3 '!I4</f>
        <v>67.76253086472488</v>
      </c>
      <c r="AD8" s="120">
        <f>'243-3 '!J4</f>
        <v>74.735983173431322</v>
      </c>
      <c r="AE8" s="118">
        <f>'243-4'!I12</f>
        <v>50.936894655211546</v>
      </c>
      <c r="AF8" s="119">
        <f>'243-4'!J12</f>
        <v>14.803887311354053</v>
      </c>
      <c r="AG8" s="119">
        <f>'243-4'!I38</f>
        <v>62.62648178594015</v>
      </c>
      <c r="AH8" s="119">
        <f>'243-4'!J38</f>
        <v>-81.011521383431869</v>
      </c>
      <c r="AI8" s="119">
        <f>'243-4'!I4</f>
        <v>56.781688220575845</v>
      </c>
      <c r="AJ8" s="120">
        <f>'243-4'!J4</f>
        <v>-33.103817036038905</v>
      </c>
      <c r="AK8" s="118"/>
      <c r="AL8" s="119"/>
      <c r="AM8" s="119"/>
      <c r="AN8" s="119"/>
      <c r="AO8" s="119"/>
      <c r="AP8" s="120"/>
      <c r="AQ8" s="118"/>
      <c r="AR8" s="119"/>
      <c r="AS8" s="119"/>
      <c r="AT8" s="119"/>
      <c r="AU8" s="119"/>
      <c r="AV8" s="120"/>
      <c r="AW8" s="118"/>
      <c r="AX8" s="119"/>
      <c r="AY8" s="119"/>
      <c r="AZ8" s="119"/>
      <c r="BA8" s="119"/>
      <c r="BB8" s="119"/>
      <c r="BC8" s="119"/>
      <c r="BD8" s="119"/>
      <c r="BE8" s="119"/>
      <c r="BF8" s="120"/>
      <c r="BG8" s="119"/>
      <c r="BH8" s="119"/>
      <c r="BI8" s="119"/>
      <c r="BJ8" s="119"/>
      <c r="BK8" s="119"/>
      <c r="BL8" s="120"/>
      <c r="BM8" s="119"/>
      <c r="BN8" s="119"/>
      <c r="BO8" s="119"/>
      <c r="BP8" s="119"/>
      <c r="BQ8" s="119"/>
      <c r="BR8" s="120"/>
    </row>
    <row r="9" spans="3:70" s="71" customFormat="1" ht="15.75" customHeight="1" thickBot="1">
      <c r="C9" s="105"/>
      <c r="D9" s="105"/>
      <c r="E9" s="121"/>
      <c r="F9" s="104"/>
      <c r="G9" s="104"/>
      <c r="H9" s="104"/>
      <c r="I9" s="104"/>
      <c r="J9" s="122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7"/>
      <c r="Y9" s="104"/>
      <c r="Z9" s="104"/>
      <c r="AA9" s="104"/>
      <c r="AB9" s="104"/>
      <c r="AC9" s="104"/>
      <c r="AD9" s="122"/>
      <c r="AE9" s="125"/>
      <c r="AF9" s="126"/>
      <c r="AG9" s="126"/>
      <c r="AH9" s="126"/>
      <c r="AI9" s="126"/>
      <c r="AJ9" s="127"/>
      <c r="AK9" s="125"/>
      <c r="AL9" s="126"/>
      <c r="AM9" s="126"/>
      <c r="AN9" s="126"/>
      <c r="AO9" s="126"/>
      <c r="AP9" s="127"/>
      <c r="AQ9" s="125"/>
      <c r="AR9" s="126"/>
      <c r="AS9" s="126"/>
      <c r="AT9" s="126"/>
      <c r="AU9" s="126"/>
      <c r="AV9" s="127"/>
      <c r="AW9" s="125"/>
      <c r="AX9" s="126"/>
      <c r="AY9" s="126"/>
      <c r="AZ9" s="126"/>
      <c r="BA9" s="126"/>
      <c r="BB9" s="126"/>
      <c r="BC9" s="126"/>
      <c r="BD9" s="126"/>
      <c r="BE9" s="126"/>
      <c r="BF9" s="127"/>
      <c r="BG9" s="104"/>
      <c r="BH9" s="104"/>
      <c r="BI9" s="104"/>
      <c r="BJ9" s="104"/>
      <c r="BK9" s="104"/>
      <c r="BL9" s="122"/>
      <c r="BM9" s="126"/>
      <c r="BN9" s="126"/>
      <c r="BO9" s="126"/>
      <c r="BP9" s="126"/>
      <c r="BQ9" s="126"/>
      <c r="BR9" s="127"/>
    </row>
    <row r="10" spans="3:70">
      <c r="C10" s="105">
        <v>242</v>
      </c>
      <c r="D10" s="105"/>
      <c r="E10" s="118">
        <f>'242-1'!I12</f>
        <v>-6.3901187850739252</v>
      </c>
      <c r="F10" s="119">
        <f>'242-1'!J12</f>
        <v>101.17651933317224</v>
      </c>
      <c r="G10" s="119"/>
      <c r="H10" s="119"/>
      <c r="I10" s="119">
        <f>'242-1'!I4</f>
        <v>-6.3901187850739252</v>
      </c>
      <c r="J10" s="120">
        <f>'242-1'!J4</f>
        <v>101.17651933317224</v>
      </c>
      <c r="K10" s="119">
        <f>'242-2'!I12</f>
        <v>35.283842878369306</v>
      </c>
      <c r="L10" s="119">
        <f>'242-2'!J12</f>
        <v>-44.485400411665012</v>
      </c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>
        <f>'242-2'!I4</f>
        <v>35.283842878369306</v>
      </c>
      <c r="X10" s="120">
        <f>'242-2'!J4</f>
        <v>-44.485400411665012</v>
      </c>
      <c r="Y10" s="119">
        <f>'242-3'!$I$12</f>
        <v>31.623978571821432</v>
      </c>
      <c r="Z10" s="119">
        <f>'242-3'!J12</f>
        <v>-17.198034308121063</v>
      </c>
      <c r="AA10" s="119">
        <f>'242-3'!$I$38</f>
        <v>55.259485143548822</v>
      </c>
      <c r="AB10" s="119">
        <f>'242-3'!J38</f>
        <v>-42.435490104770032</v>
      </c>
      <c r="AC10" s="119">
        <f>'242-3'!$I$4</f>
        <v>43.441731857685127</v>
      </c>
      <c r="AD10" s="120">
        <f>'242-3'!J4</f>
        <v>-29.816762206445546</v>
      </c>
      <c r="AE10" s="119"/>
      <c r="AF10" s="119"/>
      <c r="AG10" s="119"/>
      <c r="AH10" s="119"/>
      <c r="AI10" s="119"/>
      <c r="AJ10" s="120"/>
      <c r="AK10" s="119"/>
      <c r="AL10" s="119"/>
      <c r="AM10" s="119"/>
      <c r="AN10" s="119"/>
      <c r="AO10" s="119"/>
      <c r="AP10" s="120"/>
      <c r="AQ10" s="119"/>
      <c r="AR10" s="119"/>
      <c r="AS10" s="119"/>
      <c r="AT10" s="119"/>
      <c r="AU10" s="119"/>
      <c r="AV10" s="120"/>
      <c r="AW10" s="118"/>
      <c r="AX10" s="119"/>
      <c r="AY10" s="119"/>
      <c r="AZ10" s="119"/>
      <c r="BA10" s="119"/>
      <c r="BB10" s="119"/>
      <c r="BC10" s="119"/>
      <c r="BD10" s="119"/>
      <c r="BE10" s="119"/>
      <c r="BF10" s="120"/>
      <c r="BG10" s="119"/>
      <c r="BH10" s="119"/>
      <c r="BI10" s="119"/>
      <c r="BJ10" s="119"/>
      <c r="BK10" s="119"/>
      <c r="BL10" s="120"/>
      <c r="BM10" s="119"/>
      <c r="BN10" s="119"/>
      <c r="BO10" s="119"/>
      <c r="BP10" s="119"/>
      <c r="BQ10" s="119"/>
      <c r="BR10" s="120"/>
    </row>
    <row r="11" spans="3:70" ht="15.75" thickBot="1">
      <c r="C11" s="105"/>
      <c r="D11" s="105"/>
      <c r="E11" s="125"/>
      <c r="F11" s="126"/>
      <c r="G11" s="126"/>
      <c r="H11" s="126"/>
      <c r="I11" s="126"/>
      <c r="J11" s="127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7"/>
      <c r="Y11" s="126"/>
      <c r="Z11" s="126"/>
      <c r="AA11" s="126"/>
      <c r="AB11" s="126"/>
      <c r="AC11" s="126"/>
      <c r="AD11" s="127"/>
      <c r="AE11" s="126"/>
      <c r="AF11" s="126"/>
      <c r="AG11" s="126"/>
      <c r="AH11" s="126"/>
      <c r="AI11" s="126"/>
      <c r="AJ11" s="127"/>
      <c r="AK11" s="126"/>
      <c r="AL11" s="126"/>
      <c r="AM11" s="126"/>
      <c r="AN11" s="126"/>
      <c r="AO11" s="126"/>
      <c r="AP11" s="127"/>
      <c r="AQ11" s="126"/>
      <c r="AR11" s="126"/>
      <c r="AS11" s="126"/>
      <c r="AT11" s="126"/>
      <c r="AU11" s="126"/>
      <c r="AV11" s="127"/>
      <c r="AW11" s="125"/>
      <c r="AX11" s="126"/>
      <c r="AY11" s="126"/>
      <c r="AZ11" s="126"/>
      <c r="BA11" s="126"/>
      <c r="BB11" s="126"/>
      <c r="BC11" s="126"/>
      <c r="BD11" s="126"/>
      <c r="BE11" s="126"/>
      <c r="BF11" s="127"/>
      <c r="BG11" s="126"/>
      <c r="BH11" s="126"/>
      <c r="BI11" s="126"/>
      <c r="BJ11" s="126"/>
      <c r="BK11" s="126"/>
      <c r="BL11" s="127"/>
      <c r="BM11" s="126"/>
      <c r="BN11" s="126"/>
      <c r="BO11" s="126"/>
      <c r="BP11" s="126"/>
      <c r="BQ11" s="126"/>
      <c r="BR11" s="127"/>
    </row>
    <row r="12" spans="3:70">
      <c r="C12" s="105">
        <v>241</v>
      </c>
      <c r="D12" s="105"/>
      <c r="E12" s="121">
        <f>'241-1'!I12</f>
        <v>77.768860719148833</v>
      </c>
      <c r="F12" s="121">
        <f>'241-1'!J12</f>
        <v>-27.004945971152029</v>
      </c>
      <c r="G12" s="104">
        <f>'241-1'!I38</f>
        <v>117.24126946890811</v>
      </c>
      <c r="H12" s="104">
        <f>'241-1'!J38</f>
        <v>23.39276376997638</v>
      </c>
      <c r="I12" s="104">
        <f>'241-1'!I4</f>
        <v>97.505065094028481</v>
      </c>
      <c r="J12" s="122">
        <f>'241-1'!J4</f>
        <v>-1.8060911005878246</v>
      </c>
      <c r="K12" s="118">
        <f>'241-2__6 ракет'!I12</f>
        <v>170.78302582560718</v>
      </c>
      <c r="L12" s="119">
        <f>'241-2__6 ракет'!J12</f>
        <v>-21.532868066959718</v>
      </c>
      <c r="M12" s="119">
        <f>'241-2__6 ракет'!I38</f>
        <v>106.54217662425573</v>
      </c>
      <c r="N12" s="119">
        <f>'241-2__6 ракет'!J38</f>
        <v>23.722546982080203</v>
      </c>
      <c r="O12" s="119">
        <f>'241-2__6 ракет'!I64</f>
        <v>58.13283540900936</v>
      </c>
      <c r="P12" s="119">
        <f>'241-2__6 ракет'!J64</f>
        <v>25.599137758081049</v>
      </c>
      <c r="Q12" s="119">
        <f>'241-2__6 ракет'!I90</f>
        <v>56.452576699747951</v>
      </c>
      <c r="R12" s="119">
        <f>'241-2__6 ракет'!J90</f>
        <v>91.476285802612949</v>
      </c>
      <c r="S12" s="119">
        <f>'241-2__6 ракет'!AI12</f>
        <v>36.772205408955536</v>
      </c>
      <c r="T12" s="119">
        <f>'241-2__6 ракет'!AJ12</f>
        <v>-120.81213479025988</v>
      </c>
      <c r="U12" s="119">
        <f>'241-2__6 ракет'!AI38</f>
        <v>82.049095727011775</v>
      </c>
      <c r="V12" s="119">
        <f>'241-2__6 ракет'!AJ38</f>
        <v>-117.80354302772788</v>
      </c>
      <c r="W12" s="119">
        <f>'241-2__6 ракет'!I4</f>
        <v>85.121985949097919</v>
      </c>
      <c r="X12" s="120">
        <f>'241-2__6 ракет'!J4</f>
        <v>-19.89176255702888</v>
      </c>
      <c r="Y12" s="104"/>
      <c r="Z12" s="104"/>
      <c r="AA12" s="104"/>
      <c r="AB12" s="104"/>
      <c r="AC12" s="104"/>
      <c r="AD12" s="122"/>
      <c r="AE12" s="118"/>
      <c r="AF12" s="119"/>
      <c r="AG12" s="119"/>
      <c r="AH12" s="119"/>
      <c r="AI12" s="119"/>
      <c r="AJ12" s="120"/>
      <c r="AK12" s="118"/>
      <c r="AL12" s="119"/>
      <c r="AM12" s="119"/>
      <c r="AN12" s="119"/>
      <c r="AO12" s="119"/>
      <c r="AP12" s="120"/>
      <c r="AQ12" s="118"/>
      <c r="AR12" s="119"/>
      <c r="AS12" s="119"/>
      <c r="AT12" s="119"/>
      <c r="AU12" s="119"/>
      <c r="AV12" s="120"/>
      <c r="AW12" s="118"/>
      <c r="AX12" s="119"/>
      <c r="AY12" s="119"/>
      <c r="AZ12" s="119"/>
      <c r="BA12" s="119"/>
      <c r="BB12" s="119"/>
      <c r="BC12" s="119"/>
      <c r="BD12" s="119"/>
      <c r="BE12" s="119"/>
      <c r="BF12" s="120"/>
      <c r="BG12" s="119"/>
      <c r="BH12" s="119"/>
      <c r="BI12" s="119"/>
      <c r="BJ12" s="119"/>
      <c r="BK12" s="119"/>
      <c r="BL12" s="120"/>
      <c r="BM12" s="119"/>
      <c r="BN12" s="119"/>
      <c r="BO12" s="119"/>
      <c r="BP12" s="119"/>
      <c r="BQ12" s="119"/>
      <c r="BR12" s="120"/>
    </row>
    <row r="13" spans="3:70" ht="15.75" thickBot="1">
      <c r="C13" s="105"/>
      <c r="D13" s="105"/>
      <c r="E13" s="125"/>
      <c r="F13" s="125"/>
      <c r="G13" s="126"/>
      <c r="H13" s="126"/>
      <c r="I13" s="126"/>
      <c r="J13" s="127"/>
      <c r="K13" s="125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7"/>
      <c r="Y13" s="126"/>
      <c r="Z13" s="126"/>
      <c r="AA13" s="126"/>
      <c r="AB13" s="126"/>
      <c r="AC13" s="126"/>
      <c r="AD13" s="127"/>
      <c r="AE13" s="125"/>
      <c r="AF13" s="126"/>
      <c r="AG13" s="126"/>
      <c r="AH13" s="126"/>
      <c r="AI13" s="126"/>
      <c r="AJ13" s="127"/>
      <c r="AK13" s="125"/>
      <c r="AL13" s="126"/>
      <c r="AM13" s="126"/>
      <c r="AN13" s="126"/>
      <c r="AO13" s="126"/>
      <c r="AP13" s="127"/>
      <c r="AQ13" s="125"/>
      <c r="AR13" s="126"/>
      <c r="AS13" s="126"/>
      <c r="AT13" s="126"/>
      <c r="AU13" s="126"/>
      <c r="AV13" s="127"/>
      <c r="AW13" s="125"/>
      <c r="AX13" s="126"/>
      <c r="AY13" s="126"/>
      <c r="AZ13" s="126"/>
      <c r="BA13" s="126"/>
      <c r="BB13" s="126"/>
      <c r="BC13" s="126"/>
      <c r="BD13" s="126"/>
      <c r="BE13" s="126"/>
      <c r="BF13" s="127"/>
      <c r="BG13" s="126"/>
      <c r="BH13" s="126"/>
      <c r="BI13" s="126"/>
      <c r="BJ13" s="126"/>
      <c r="BK13" s="126"/>
      <c r="BL13" s="127"/>
      <c r="BM13" s="126"/>
      <c r="BN13" s="126"/>
      <c r="BO13" s="126"/>
      <c r="BP13" s="126"/>
      <c r="BQ13" s="126"/>
      <c r="BR13" s="127"/>
    </row>
    <row r="14" spans="3:70">
      <c r="C14" s="105">
        <v>240</v>
      </c>
      <c r="D14" s="105"/>
      <c r="E14" s="118"/>
      <c r="F14" s="119"/>
      <c r="G14" s="119"/>
      <c r="H14" s="119"/>
      <c r="I14" s="119"/>
      <c r="J14" s="120"/>
      <c r="K14" s="118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20"/>
      <c r="Y14" s="119"/>
      <c r="Z14" s="119"/>
      <c r="AA14" s="119"/>
      <c r="AB14" s="119"/>
      <c r="AC14" s="119"/>
      <c r="AD14" s="120"/>
      <c r="AE14" s="118"/>
      <c r="AF14" s="119"/>
      <c r="AG14" s="119"/>
      <c r="AH14" s="119"/>
      <c r="AI14" s="119"/>
      <c r="AJ14" s="120"/>
      <c r="AK14" s="118"/>
      <c r="AL14" s="119"/>
      <c r="AM14" s="119"/>
      <c r="AN14" s="119"/>
      <c r="AO14" s="119"/>
      <c r="AP14" s="120"/>
      <c r="AQ14" s="118">
        <f>'240-6'!I12</f>
        <v>138.73912347732721</v>
      </c>
      <c r="AR14" s="118">
        <f>'240-6'!J12</f>
        <v>-11.244532311834911</v>
      </c>
      <c r="AS14" s="119"/>
      <c r="AT14" s="119"/>
      <c r="AU14" s="119">
        <f>'240-6'!I4</f>
        <v>138.73912347732721</v>
      </c>
      <c r="AV14" s="120">
        <f>'240-6'!J4</f>
        <v>-11.244532311834911</v>
      </c>
      <c r="AW14" s="118">
        <f>'240-7__4 ркеты'!$I$12</f>
        <v>116.14276367556954</v>
      </c>
      <c r="AX14" s="119">
        <f>'240-7__4 ркеты'!$J$12</f>
        <v>19.205125943233828</v>
      </c>
      <c r="AY14" s="119">
        <f>'240-7__4 ркеты'!$I$38</f>
        <v>67.287427706094732</v>
      </c>
      <c r="AZ14" s="119">
        <f>'240-7__4 ркеты'!$J$38</f>
        <v>18.996543355779778</v>
      </c>
      <c r="BA14" s="119">
        <f>'240-7__4 ркеты'!$I$64</f>
        <v>32.111370094927622</v>
      </c>
      <c r="BB14" s="119">
        <f>'240-7__4 ркеты'!$J$64</f>
        <v>-90.543462060556095</v>
      </c>
      <c r="BC14" s="119">
        <f>'240-7__4 ркеты'!$I$90</f>
        <v>112.25361040870294</v>
      </c>
      <c r="BD14" s="119">
        <f>'240-7__4 ркеты'!$J$90</f>
        <v>-82.332109947211379</v>
      </c>
      <c r="BE14" s="119">
        <f>'240-7__4 ркеты'!$I$4</f>
        <v>81.948792971323712</v>
      </c>
      <c r="BF14" s="120">
        <f>'240-7__4 ркеты'!$J$4</f>
        <v>-33.668475677188468</v>
      </c>
      <c r="BG14" s="118">
        <f>'240-8'!I12</f>
        <v>144.1353966745221</v>
      </c>
      <c r="BH14" s="118">
        <f>'240-8'!J12</f>
        <v>-28.705682034847566</v>
      </c>
      <c r="BI14" s="119"/>
      <c r="BJ14" s="119"/>
      <c r="BK14" s="119">
        <f>'240-8'!I4</f>
        <v>144.1353966745221</v>
      </c>
      <c r="BL14" s="120">
        <f>'240-8'!J4</f>
        <v>-28.705682034847566</v>
      </c>
      <c r="BM14" s="119">
        <f>'240-9'!$I$12</f>
        <v>187.28076373671342</v>
      </c>
      <c r="BN14" s="118">
        <f>'240-9'!$J$12</f>
        <v>3.7737729980310126</v>
      </c>
      <c r="BO14" s="119">
        <f>'240-9'!$I$38</f>
        <v>125.60642145058307</v>
      </c>
      <c r="BP14" s="119">
        <f>'240-9'!$J$38</f>
        <v>-113.02771349739395</v>
      </c>
      <c r="BQ14" s="119">
        <f>'240-9'!$I$4</f>
        <v>156.44359259364825</v>
      </c>
      <c r="BR14" s="120">
        <f>'240-9'!$J$4</f>
        <v>-54.62697024968147</v>
      </c>
    </row>
    <row r="15" spans="3:70" ht="15.75" thickBot="1">
      <c r="C15" s="105"/>
      <c r="D15" s="105"/>
      <c r="E15" s="125"/>
      <c r="F15" s="126"/>
      <c r="G15" s="126"/>
      <c r="H15" s="126"/>
      <c r="I15" s="126"/>
      <c r="J15" s="127"/>
      <c r="K15" s="125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7"/>
      <c r="Y15" s="126"/>
      <c r="Z15" s="126"/>
      <c r="AA15" s="126"/>
      <c r="AB15" s="126"/>
      <c r="AC15" s="126"/>
      <c r="AD15" s="127"/>
      <c r="AE15" s="125"/>
      <c r="AF15" s="126"/>
      <c r="AG15" s="126"/>
      <c r="AH15" s="126"/>
      <c r="AI15" s="126"/>
      <c r="AJ15" s="127"/>
      <c r="AK15" s="125"/>
      <c r="AL15" s="126"/>
      <c r="AM15" s="126"/>
      <c r="AN15" s="126"/>
      <c r="AO15" s="126"/>
      <c r="AP15" s="127"/>
      <c r="AQ15" s="125"/>
      <c r="AR15" s="125"/>
      <c r="AS15" s="126"/>
      <c r="AT15" s="126"/>
      <c r="AU15" s="126"/>
      <c r="AV15" s="127"/>
      <c r="AW15" s="125"/>
      <c r="AX15" s="126"/>
      <c r="AY15" s="126"/>
      <c r="AZ15" s="126"/>
      <c r="BA15" s="126"/>
      <c r="BB15" s="126"/>
      <c r="BC15" s="126"/>
      <c r="BD15" s="126"/>
      <c r="BE15" s="126"/>
      <c r="BF15" s="127"/>
      <c r="BG15" s="125"/>
      <c r="BH15" s="125"/>
      <c r="BI15" s="126"/>
      <c r="BJ15" s="126"/>
      <c r="BK15" s="126"/>
      <c r="BL15" s="127"/>
      <c r="BM15" s="126"/>
      <c r="BN15" s="125"/>
      <c r="BO15" s="126"/>
      <c r="BP15" s="126"/>
      <c r="BQ15" s="126"/>
      <c r="BR15" s="127"/>
    </row>
    <row r="77" spans="4:8" ht="408.75" customHeight="1"/>
    <row r="79" spans="4:8">
      <c r="E79" s="71" t="s">
        <v>99</v>
      </c>
      <c r="H79" s="33">
        <v>200</v>
      </c>
    </row>
    <row r="80" spans="4:8">
      <c r="D80" s="71" t="s">
        <v>100</v>
      </c>
      <c r="H80" s="33">
        <v>500</v>
      </c>
    </row>
    <row r="81" spans="3:70" ht="15.75" thickBot="1"/>
    <row r="82" spans="3:70" ht="18.75">
      <c r="C82" s="131" t="s">
        <v>85</v>
      </c>
      <c r="D82" s="131"/>
      <c r="E82" s="141">
        <v>1</v>
      </c>
      <c r="F82" s="142"/>
      <c r="G82" s="142"/>
      <c r="H82" s="142"/>
      <c r="I82" s="142"/>
      <c r="J82" s="143"/>
      <c r="K82" s="141">
        <v>2</v>
      </c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3"/>
      <c r="Y82" s="141">
        <v>3</v>
      </c>
      <c r="Z82" s="142"/>
      <c r="AA82" s="142"/>
      <c r="AB82" s="142"/>
      <c r="AC82" s="142"/>
      <c r="AD82" s="143"/>
      <c r="AE82" s="141">
        <v>4</v>
      </c>
      <c r="AF82" s="142"/>
      <c r="AG82" s="142"/>
      <c r="AH82" s="142"/>
      <c r="AI82" s="142"/>
      <c r="AJ82" s="143"/>
      <c r="AK82" s="128">
        <v>5</v>
      </c>
      <c r="AL82" s="129"/>
      <c r="AM82" s="129"/>
      <c r="AN82" s="129"/>
      <c r="AO82" s="129"/>
      <c r="AP82" s="130"/>
      <c r="AQ82" s="141">
        <v>6</v>
      </c>
      <c r="AR82" s="142"/>
      <c r="AS82" s="142"/>
      <c r="AT82" s="142"/>
      <c r="AU82" s="142"/>
      <c r="AV82" s="143"/>
      <c r="AW82" s="141">
        <v>7</v>
      </c>
      <c r="AX82" s="142"/>
      <c r="AY82" s="142"/>
      <c r="AZ82" s="142"/>
      <c r="BA82" s="142"/>
      <c r="BB82" s="142"/>
      <c r="BC82" s="142"/>
      <c r="BD82" s="142"/>
      <c r="BE82" s="142"/>
      <c r="BF82" s="143"/>
      <c r="BG82" s="141">
        <v>8</v>
      </c>
      <c r="BH82" s="142"/>
      <c r="BI82" s="142"/>
      <c r="BJ82" s="142"/>
      <c r="BK82" s="142"/>
      <c r="BL82" s="143"/>
      <c r="BM82" s="141">
        <v>9</v>
      </c>
      <c r="BN82" s="142"/>
      <c r="BO82" s="142"/>
      <c r="BP82" s="142"/>
      <c r="BQ82" s="142"/>
      <c r="BR82" s="143"/>
    </row>
    <row r="83" spans="3:70">
      <c r="C83" s="131"/>
      <c r="D83" s="131"/>
      <c r="E83" s="132" t="s">
        <v>87</v>
      </c>
      <c r="F83" s="133"/>
      <c r="G83" s="133" t="s">
        <v>88</v>
      </c>
      <c r="H83" s="133"/>
      <c r="I83" s="133" t="s">
        <v>89</v>
      </c>
      <c r="J83" s="134"/>
      <c r="K83" s="132" t="s">
        <v>87</v>
      </c>
      <c r="L83" s="133"/>
      <c r="M83" s="133" t="s">
        <v>88</v>
      </c>
      <c r="N83" s="133"/>
      <c r="O83" s="132" t="s">
        <v>95</v>
      </c>
      <c r="P83" s="133"/>
      <c r="Q83" s="133" t="s">
        <v>96</v>
      </c>
      <c r="R83" s="133"/>
      <c r="S83" s="132" t="s">
        <v>97</v>
      </c>
      <c r="T83" s="133"/>
      <c r="U83" s="133" t="s">
        <v>98</v>
      </c>
      <c r="V83" s="133"/>
      <c r="W83" s="133" t="s">
        <v>89</v>
      </c>
      <c r="X83" s="134"/>
      <c r="Y83" s="132" t="s">
        <v>87</v>
      </c>
      <c r="Z83" s="133"/>
      <c r="AA83" s="133" t="s">
        <v>88</v>
      </c>
      <c r="AB83" s="133"/>
      <c r="AC83" s="133" t="s">
        <v>89</v>
      </c>
      <c r="AD83" s="134"/>
      <c r="AE83" s="132" t="s">
        <v>87</v>
      </c>
      <c r="AF83" s="133"/>
      <c r="AG83" s="133" t="s">
        <v>88</v>
      </c>
      <c r="AH83" s="133"/>
      <c r="AI83" s="133" t="s">
        <v>89</v>
      </c>
      <c r="AJ83" s="134"/>
      <c r="AK83" s="132" t="s">
        <v>87</v>
      </c>
      <c r="AL83" s="133"/>
      <c r="AM83" s="133" t="s">
        <v>88</v>
      </c>
      <c r="AN83" s="133"/>
      <c r="AO83" s="133" t="s">
        <v>89</v>
      </c>
      <c r="AP83" s="134"/>
      <c r="AQ83" s="132" t="s">
        <v>87</v>
      </c>
      <c r="AR83" s="133"/>
      <c r="AS83" s="133" t="s">
        <v>88</v>
      </c>
      <c r="AT83" s="133"/>
      <c r="AU83" s="133" t="s">
        <v>89</v>
      </c>
      <c r="AV83" s="134"/>
      <c r="AW83" s="132" t="s">
        <v>87</v>
      </c>
      <c r="AX83" s="133"/>
      <c r="AY83" s="133" t="s">
        <v>88</v>
      </c>
      <c r="AZ83" s="133"/>
      <c r="BA83" s="133" t="s">
        <v>95</v>
      </c>
      <c r="BB83" s="133"/>
      <c r="BC83" s="133" t="s">
        <v>96</v>
      </c>
      <c r="BD83" s="133"/>
      <c r="BE83" s="133" t="s">
        <v>89</v>
      </c>
      <c r="BF83" s="134"/>
      <c r="BG83" s="132" t="s">
        <v>87</v>
      </c>
      <c r="BH83" s="133"/>
      <c r="BI83" s="133" t="s">
        <v>88</v>
      </c>
      <c r="BJ83" s="133"/>
      <c r="BK83" s="133" t="s">
        <v>89</v>
      </c>
      <c r="BL83" s="134"/>
      <c r="BM83" s="132" t="s">
        <v>87</v>
      </c>
      <c r="BN83" s="133"/>
      <c r="BO83" s="133" t="s">
        <v>88</v>
      </c>
      <c r="BP83" s="133"/>
      <c r="BQ83" s="133" t="s">
        <v>89</v>
      </c>
      <c r="BR83" s="134"/>
    </row>
    <row r="84" spans="3:70" ht="15.75" thickBot="1">
      <c r="C84" s="133" t="s">
        <v>90</v>
      </c>
      <c r="D84" s="134"/>
      <c r="E84" s="135" t="s">
        <v>3</v>
      </c>
      <c r="F84" s="136" t="s">
        <v>21</v>
      </c>
      <c r="G84" s="136" t="s">
        <v>3</v>
      </c>
      <c r="H84" s="136" t="s">
        <v>21</v>
      </c>
      <c r="I84" s="136" t="s">
        <v>3</v>
      </c>
      <c r="J84" s="137" t="s">
        <v>21</v>
      </c>
      <c r="K84" s="139" t="s">
        <v>3</v>
      </c>
      <c r="L84" s="138" t="s">
        <v>21</v>
      </c>
      <c r="M84" s="138" t="s">
        <v>3</v>
      </c>
      <c r="N84" s="138" t="s">
        <v>21</v>
      </c>
      <c r="O84" s="139" t="s">
        <v>3</v>
      </c>
      <c r="P84" s="138" t="s">
        <v>21</v>
      </c>
      <c r="Q84" s="138" t="s">
        <v>3</v>
      </c>
      <c r="R84" s="138" t="s">
        <v>21</v>
      </c>
      <c r="S84" s="139" t="s">
        <v>3</v>
      </c>
      <c r="T84" s="138" t="s">
        <v>21</v>
      </c>
      <c r="U84" s="138" t="s">
        <v>3</v>
      </c>
      <c r="V84" s="138" t="s">
        <v>21</v>
      </c>
      <c r="W84" s="138" t="s">
        <v>3</v>
      </c>
      <c r="X84" s="140" t="s">
        <v>21</v>
      </c>
      <c r="Y84" s="135" t="s">
        <v>3</v>
      </c>
      <c r="Z84" s="136" t="s">
        <v>21</v>
      </c>
      <c r="AA84" s="136" t="s">
        <v>3</v>
      </c>
      <c r="AB84" s="136" t="s">
        <v>21</v>
      </c>
      <c r="AC84" s="136" t="s">
        <v>3</v>
      </c>
      <c r="AD84" s="137" t="s">
        <v>21</v>
      </c>
      <c r="AE84" s="135" t="s">
        <v>3</v>
      </c>
      <c r="AF84" s="136" t="s">
        <v>21</v>
      </c>
      <c r="AG84" s="136" t="s">
        <v>3</v>
      </c>
      <c r="AH84" s="136" t="s">
        <v>21</v>
      </c>
      <c r="AI84" s="136" t="s">
        <v>3</v>
      </c>
      <c r="AJ84" s="137" t="s">
        <v>21</v>
      </c>
      <c r="AK84" s="135" t="s">
        <v>3</v>
      </c>
      <c r="AL84" s="136" t="s">
        <v>21</v>
      </c>
      <c r="AM84" s="136" t="s">
        <v>3</v>
      </c>
      <c r="AN84" s="136" t="s">
        <v>21</v>
      </c>
      <c r="AO84" s="136" t="s">
        <v>3</v>
      </c>
      <c r="AP84" s="137" t="s">
        <v>21</v>
      </c>
      <c r="AQ84" s="135" t="s">
        <v>3</v>
      </c>
      <c r="AR84" s="136" t="s">
        <v>21</v>
      </c>
      <c r="AS84" s="136" t="s">
        <v>3</v>
      </c>
      <c r="AT84" s="136" t="s">
        <v>21</v>
      </c>
      <c r="AU84" s="136" t="s">
        <v>3</v>
      </c>
      <c r="AV84" s="137" t="s">
        <v>21</v>
      </c>
      <c r="AW84" s="139" t="s">
        <v>3</v>
      </c>
      <c r="AX84" s="138" t="s">
        <v>21</v>
      </c>
      <c r="AY84" s="138" t="s">
        <v>3</v>
      </c>
      <c r="AZ84" s="138" t="s">
        <v>21</v>
      </c>
      <c r="BA84" s="138" t="s">
        <v>3</v>
      </c>
      <c r="BB84" s="140" t="s">
        <v>21</v>
      </c>
      <c r="BC84" s="139" t="s">
        <v>3</v>
      </c>
      <c r="BD84" s="138" t="s">
        <v>21</v>
      </c>
      <c r="BE84" s="138" t="s">
        <v>3</v>
      </c>
      <c r="BF84" s="140" t="s">
        <v>21</v>
      </c>
      <c r="BG84" s="138" t="s">
        <v>3</v>
      </c>
      <c r="BH84" s="138" t="s">
        <v>21</v>
      </c>
      <c r="BI84" s="139" t="s">
        <v>3</v>
      </c>
      <c r="BJ84" s="138" t="s">
        <v>21</v>
      </c>
      <c r="BK84" s="138" t="s">
        <v>3</v>
      </c>
      <c r="BL84" s="140" t="s">
        <v>21</v>
      </c>
      <c r="BM84" s="135" t="s">
        <v>3</v>
      </c>
      <c r="BN84" s="136" t="s">
        <v>21</v>
      </c>
      <c r="BO84" s="136" t="s">
        <v>3</v>
      </c>
      <c r="BP84" s="136" t="s">
        <v>21</v>
      </c>
      <c r="BQ84" s="136" t="s">
        <v>3</v>
      </c>
      <c r="BR84" s="137" t="s">
        <v>21</v>
      </c>
    </row>
    <row r="85" spans="3:70">
      <c r="C85" s="105">
        <v>243</v>
      </c>
      <c r="D85" s="105"/>
      <c r="E85" s="118">
        <f>E8</f>
        <v>82.838851993640688</v>
      </c>
      <c r="F85" s="119">
        <f>F8-$H$79*3</f>
        <v>-606.96539930639062</v>
      </c>
      <c r="G85" s="118">
        <f>G8</f>
        <v>78.880305505723911</v>
      </c>
      <c r="H85" s="119">
        <f>H8-$H$79*3</f>
        <v>-716.91867370054126</v>
      </c>
      <c r="I85" s="118">
        <f>I8</f>
        <v>80.859578749682299</v>
      </c>
      <c r="J85" s="119">
        <f t="shared" ref="I85:J85" si="0">J8-$H$79*3</f>
        <v>-661.94203650346594</v>
      </c>
      <c r="K85" s="118">
        <f>K8</f>
        <v>56.136428216009506</v>
      </c>
      <c r="L85" s="119">
        <f>L8-$H$79*2</f>
        <v>-472.51527653072463</v>
      </c>
      <c r="M85" s="118">
        <f>M8</f>
        <v>36.312577962940004</v>
      </c>
      <c r="N85" s="119">
        <f>N8-$H$79*2</f>
        <v>-427.17738164636557</v>
      </c>
      <c r="O85" s="119"/>
      <c r="P85" s="119"/>
      <c r="Q85" s="119"/>
      <c r="R85" s="119"/>
      <c r="S85" s="119"/>
      <c r="T85" s="119"/>
      <c r="U85" s="119"/>
      <c r="V85" s="119"/>
      <c r="W85" s="118">
        <f>W8</f>
        <v>46.224503089474752</v>
      </c>
      <c r="X85" s="119">
        <f>X8-$H$79*2</f>
        <v>-449.84632908854513</v>
      </c>
      <c r="Y85" s="118">
        <f>Y8</f>
        <v>79.181424539889463</v>
      </c>
      <c r="Z85" s="119">
        <f>Z8-$H$79</f>
        <v>-98.681341111828758</v>
      </c>
      <c r="AA85" s="118">
        <f t="shared" ref="AA85:AD85" si="1">AA8</f>
        <v>56.343637189560305</v>
      </c>
      <c r="AB85" s="119">
        <f t="shared" ref="AB85:AD85" si="2">AB8-$H$79</f>
        <v>-151.84669254130861</v>
      </c>
      <c r="AC85" s="118">
        <f t="shared" ref="AC85:AD85" si="3">AC8</f>
        <v>67.76253086472488</v>
      </c>
      <c r="AD85" s="119">
        <f t="shared" ref="AD85" si="4">AD8-$H$79</f>
        <v>-125.26401682656868</v>
      </c>
      <c r="AE85" s="118">
        <f>AE8</f>
        <v>50.936894655211546</v>
      </c>
      <c r="AF85" s="119">
        <f>AF8</f>
        <v>14.803887311354053</v>
      </c>
      <c r="AG85" s="118">
        <f>AG8</f>
        <v>62.62648178594015</v>
      </c>
      <c r="AH85" s="119">
        <f t="shared" ref="AH85:AJ85" si="5">AH8</f>
        <v>-81.011521383431869</v>
      </c>
      <c r="AI85" s="118">
        <f>AI8</f>
        <v>56.781688220575845</v>
      </c>
      <c r="AJ85" s="119">
        <f t="shared" ref="AJ85" si="6">AJ8</f>
        <v>-33.103817036038905</v>
      </c>
      <c r="AK85" s="118"/>
      <c r="AL85" s="118"/>
      <c r="AM85" s="118"/>
      <c r="AN85" s="118"/>
      <c r="AO85" s="118"/>
      <c r="AP85" s="118"/>
      <c r="AQ85" s="118"/>
      <c r="AR85" s="119"/>
      <c r="AS85" s="119"/>
      <c r="AT85" s="119"/>
      <c r="AU85" s="119"/>
      <c r="AV85" s="120"/>
      <c r="AW85" s="118"/>
      <c r="AX85" s="119"/>
      <c r="AY85" s="119"/>
      <c r="AZ85" s="119"/>
      <c r="BA85" s="119"/>
      <c r="BB85" s="119"/>
      <c r="BC85" s="119"/>
      <c r="BD85" s="119"/>
      <c r="BE85" s="119"/>
      <c r="BF85" s="120"/>
      <c r="BG85" s="119"/>
      <c r="BH85" s="119"/>
      <c r="BI85" s="119"/>
      <c r="BJ85" s="119"/>
      <c r="BK85" s="119"/>
      <c r="BL85" s="120"/>
      <c r="BM85" s="119"/>
      <c r="BN85" s="119"/>
      <c r="BO85" s="119"/>
      <c r="BP85" s="119"/>
      <c r="BQ85" s="119"/>
      <c r="BR85" s="120"/>
    </row>
    <row r="86" spans="3:70" ht="15.75" thickBot="1">
      <c r="C86" s="105"/>
      <c r="D86" s="105"/>
      <c r="E86" s="125"/>
      <c r="F86" s="126"/>
      <c r="G86" s="125"/>
      <c r="H86" s="126"/>
      <c r="I86" s="125"/>
      <c r="J86" s="126"/>
      <c r="K86" s="125"/>
      <c r="L86" s="126"/>
      <c r="M86" s="125"/>
      <c r="N86" s="126"/>
      <c r="O86" s="126"/>
      <c r="P86" s="126"/>
      <c r="Q86" s="126"/>
      <c r="R86" s="126"/>
      <c r="S86" s="126"/>
      <c r="T86" s="126"/>
      <c r="U86" s="126"/>
      <c r="V86" s="126"/>
      <c r="W86" s="125"/>
      <c r="X86" s="126"/>
      <c r="Y86" s="125"/>
      <c r="Z86" s="126"/>
      <c r="AA86" s="125"/>
      <c r="AB86" s="126"/>
      <c r="AC86" s="125"/>
      <c r="AD86" s="126"/>
      <c r="AE86" s="125"/>
      <c r="AF86" s="126"/>
      <c r="AG86" s="125"/>
      <c r="AH86" s="126"/>
      <c r="AI86" s="125"/>
      <c r="AJ86" s="126"/>
      <c r="AK86" s="125"/>
      <c r="AL86" s="125"/>
      <c r="AM86" s="125"/>
      <c r="AN86" s="125"/>
      <c r="AO86" s="125"/>
      <c r="AP86" s="125"/>
      <c r="AQ86" s="125"/>
      <c r="AR86" s="126"/>
      <c r="AS86" s="126"/>
      <c r="AT86" s="126"/>
      <c r="AU86" s="126"/>
      <c r="AV86" s="127"/>
      <c r="AW86" s="125"/>
      <c r="AX86" s="126"/>
      <c r="AY86" s="126"/>
      <c r="AZ86" s="126"/>
      <c r="BA86" s="126"/>
      <c r="BB86" s="126"/>
      <c r="BC86" s="126"/>
      <c r="BD86" s="126"/>
      <c r="BE86" s="126"/>
      <c r="BF86" s="127"/>
      <c r="BG86" s="104"/>
      <c r="BH86" s="104"/>
      <c r="BI86" s="104"/>
      <c r="BJ86" s="104"/>
      <c r="BK86" s="104"/>
      <c r="BL86" s="122"/>
      <c r="BM86" s="126"/>
      <c r="BN86" s="126"/>
      <c r="BO86" s="126"/>
      <c r="BP86" s="126"/>
      <c r="BQ86" s="126"/>
      <c r="BR86" s="127"/>
    </row>
    <row r="87" spans="3:70">
      <c r="C87" s="105">
        <v>242</v>
      </c>
      <c r="D87" s="105"/>
      <c r="E87" s="118">
        <f>E10+$H$80</f>
        <v>493.60988121492608</v>
      </c>
      <c r="F87" s="119">
        <f t="shared" ref="F87" si="7">F10-$H$79*3</f>
        <v>-498.82348066682778</v>
      </c>
      <c r="G87" s="119"/>
      <c r="H87" s="119"/>
      <c r="I87" s="118">
        <f>I10-$H$80</f>
        <v>-506.39011878507392</v>
      </c>
      <c r="J87" s="119">
        <f t="shared" ref="I87:J87" si="8">J10-$H$79*3</f>
        <v>-498.82348066682778</v>
      </c>
      <c r="K87" s="118">
        <f>K10+$H$80</f>
        <v>535.28384287836934</v>
      </c>
      <c r="L87" s="119">
        <f>L10-$H$79*2</f>
        <v>-444.48540041166501</v>
      </c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8">
        <f>W10+$H$80</f>
        <v>535.28384287836934</v>
      </c>
      <c r="X87" s="119">
        <f>X10-$H$80</f>
        <v>-544.48540041166507</v>
      </c>
      <c r="Y87" s="118">
        <f>Y10+$H$80</f>
        <v>531.62397857182145</v>
      </c>
      <c r="Z87" s="119">
        <f t="shared" ref="Z87:AD87" si="9">Z10-$H$79</f>
        <v>-217.19803430812107</v>
      </c>
      <c r="AA87" s="118">
        <f>AA10+$H$80</f>
        <v>555.25948514354877</v>
      </c>
      <c r="AB87" s="119">
        <f t="shared" ref="AB87:AD87" si="10">AB10-$H$79</f>
        <v>-242.43549010477003</v>
      </c>
      <c r="AC87" s="118">
        <f>AC10+$H$80</f>
        <v>543.44173185768511</v>
      </c>
      <c r="AD87" s="119">
        <f t="shared" ref="AD87" si="11">AD10-$H$79</f>
        <v>-229.81676220644556</v>
      </c>
      <c r="AE87" s="119"/>
      <c r="AF87" s="119"/>
      <c r="AG87" s="119"/>
      <c r="AH87" s="119"/>
      <c r="AI87" s="119"/>
      <c r="AJ87" s="120"/>
      <c r="AK87" s="118"/>
      <c r="AL87" s="118"/>
      <c r="AM87" s="118"/>
      <c r="AN87" s="118"/>
      <c r="AO87" s="118"/>
      <c r="AP87" s="118"/>
      <c r="AQ87" s="119"/>
      <c r="AR87" s="119"/>
      <c r="AS87" s="119"/>
      <c r="AT87" s="119"/>
      <c r="AU87" s="119"/>
      <c r="AV87" s="120"/>
      <c r="AW87" s="118"/>
      <c r="AX87" s="119"/>
      <c r="AY87" s="119"/>
      <c r="AZ87" s="119"/>
      <c r="BA87" s="119"/>
      <c r="BB87" s="119"/>
      <c r="BC87" s="119"/>
      <c r="BD87" s="119"/>
      <c r="BE87" s="119"/>
      <c r="BF87" s="120"/>
      <c r="BG87" s="119"/>
      <c r="BH87" s="119"/>
      <c r="BI87" s="119"/>
      <c r="BJ87" s="119"/>
      <c r="BK87" s="119"/>
      <c r="BL87" s="120"/>
      <c r="BM87" s="119"/>
      <c r="BN87" s="119"/>
      <c r="BO87" s="119"/>
      <c r="BP87" s="119"/>
      <c r="BQ87" s="119"/>
      <c r="BR87" s="120"/>
    </row>
    <row r="88" spans="3:70" ht="15.75" thickBot="1">
      <c r="C88" s="105"/>
      <c r="D88" s="105"/>
      <c r="E88" s="125"/>
      <c r="F88" s="126"/>
      <c r="G88" s="126"/>
      <c r="H88" s="126"/>
      <c r="I88" s="125"/>
      <c r="J88" s="126"/>
      <c r="K88" s="125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5"/>
      <c r="X88" s="126"/>
      <c r="Y88" s="125"/>
      <c r="Z88" s="126"/>
      <c r="AA88" s="125"/>
      <c r="AB88" s="126"/>
      <c r="AC88" s="125"/>
      <c r="AD88" s="126"/>
      <c r="AE88" s="126"/>
      <c r="AF88" s="126"/>
      <c r="AG88" s="126"/>
      <c r="AH88" s="126"/>
      <c r="AI88" s="126"/>
      <c r="AJ88" s="127"/>
      <c r="AK88" s="125"/>
      <c r="AL88" s="125"/>
      <c r="AM88" s="125"/>
      <c r="AN88" s="125"/>
      <c r="AO88" s="125"/>
      <c r="AP88" s="125"/>
      <c r="AQ88" s="126"/>
      <c r="AR88" s="126"/>
      <c r="AS88" s="126"/>
      <c r="AT88" s="126"/>
      <c r="AU88" s="126"/>
      <c r="AV88" s="127"/>
      <c r="AW88" s="125"/>
      <c r="AX88" s="126"/>
      <c r="AY88" s="126"/>
      <c r="AZ88" s="126"/>
      <c r="BA88" s="126"/>
      <c r="BB88" s="126"/>
      <c r="BC88" s="126"/>
      <c r="BD88" s="126"/>
      <c r="BE88" s="126"/>
      <c r="BF88" s="127"/>
      <c r="BG88" s="126"/>
      <c r="BH88" s="126"/>
      <c r="BI88" s="126"/>
      <c r="BJ88" s="126"/>
      <c r="BK88" s="126"/>
      <c r="BL88" s="127"/>
      <c r="BM88" s="126"/>
      <c r="BN88" s="126"/>
      <c r="BO88" s="126"/>
      <c r="BP88" s="126"/>
      <c r="BQ88" s="126"/>
      <c r="BR88" s="127"/>
    </row>
    <row r="89" spans="3:70">
      <c r="C89" s="105">
        <v>241</v>
      </c>
      <c r="D89" s="105"/>
      <c r="E89" s="118">
        <f>E12+$H$80*2</f>
        <v>1077.7688607191487</v>
      </c>
      <c r="F89" s="119">
        <f t="shared" ref="F89:J89" si="12">F12-$H$79*3</f>
        <v>-627.00494597115198</v>
      </c>
      <c r="G89" s="118">
        <f>G12+$H$80*2</f>
        <v>1117.2412694689081</v>
      </c>
      <c r="H89" s="119">
        <f t="shared" si="12"/>
        <v>-576.60723623002366</v>
      </c>
      <c r="I89" s="118">
        <f>I12+$H$80*2</f>
        <v>1097.5050650940284</v>
      </c>
      <c r="J89" s="119">
        <f t="shared" si="12"/>
        <v>-601.80609110058788</v>
      </c>
      <c r="K89" s="118">
        <f>K12+$H$80*2</f>
        <v>1170.7830258256072</v>
      </c>
      <c r="L89" s="119">
        <f>L12-$H$79*2</f>
        <v>-421.53286806695974</v>
      </c>
      <c r="M89" s="118">
        <f>M12+$H$80*2</f>
        <v>1106.5421766242557</v>
      </c>
      <c r="N89" s="119">
        <f t="shared" ref="N89:X89" si="13">N12-$H$79*2</f>
        <v>-376.27745301791981</v>
      </c>
      <c r="O89" s="118">
        <f>O12+$H$80*2</f>
        <v>1058.1328354090094</v>
      </c>
      <c r="P89" s="119">
        <f t="shared" ref="P89:X89" si="14">P12-$H$79*2</f>
        <v>-374.40086224191896</v>
      </c>
      <c r="Q89" s="118">
        <f>Q12+$H$80*2</f>
        <v>1056.4525766997479</v>
      </c>
      <c r="R89" s="119">
        <f t="shared" ref="R89:X89" si="15">R12-$H$79*2</f>
        <v>-308.52371419738705</v>
      </c>
      <c r="S89" s="118">
        <f>S12+$H$80*2</f>
        <v>1036.7722054089556</v>
      </c>
      <c r="T89" s="119">
        <f t="shared" ref="T89:X89" si="16">T12-$H$79*2</f>
        <v>-520.81213479025985</v>
      </c>
      <c r="U89" s="118">
        <f>U12+$H$80*2</f>
        <v>1082.0490957270117</v>
      </c>
      <c r="V89" s="119">
        <f t="shared" ref="V89:X89" si="17">V12-$H$79*2</f>
        <v>-517.80354302772787</v>
      </c>
      <c r="W89" s="118">
        <f>W12+$H$80*2</f>
        <v>1085.121985949098</v>
      </c>
      <c r="X89" s="119">
        <f t="shared" ref="X89" si="18">X12-$H$79*2</f>
        <v>-419.89176255702887</v>
      </c>
      <c r="Y89" s="104"/>
      <c r="Z89" s="104"/>
      <c r="AA89" s="104"/>
      <c r="AB89" s="104"/>
      <c r="AC89" s="104"/>
      <c r="AD89" s="122"/>
      <c r="AE89" s="118"/>
      <c r="AF89" s="119"/>
      <c r="AG89" s="119"/>
      <c r="AH89" s="119"/>
      <c r="AI89" s="119"/>
      <c r="AJ89" s="120"/>
      <c r="AK89" s="118"/>
      <c r="AL89" s="118"/>
      <c r="AM89" s="118"/>
      <c r="AN89" s="118"/>
      <c r="AO89" s="118"/>
      <c r="AP89" s="118"/>
      <c r="AQ89" s="118"/>
      <c r="AR89" s="119"/>
      <c r="AS89" s="119"/>
      <c r="AT89" s="119"/>
      <c r="AU89" s="119"/>
      <c r="AV89" s="120"/>
      <c r="AW89" s="118"/>
      <c r="AX89" s="119"/>
      <c r="AY89" s="119"/>
      <c r="AZ89" s="119"/>
      <c r="BA89" s="119"/>
      <c r="BB89" s="119"/>
      <c r="BC89" s="119"/>
      <c r="BD89" s="119"/>
      <c r="BE89" s="119"/>
      <c r="BF89" s="120"/>
      <c r="BG89" s="119"/>
      <c r="BH89" s="119"/>
      <c r="BI89" s="119"/>
      <c r="BJ89" s="119"/>
      <c r="BK89" s="119"/>
      <c r="BL89" s="120"/>
      <c r="BM89" s="119"/>
      <c r="BN89" s="119"/>
      <c r="BO89" s="119"/>
      <c r="BP89" s="119"/>
      <c r="BQ89" s="119"/>
      <c r="BR89" s="120"/>
    </row>
    <row r="90" spans="3:70" ht="15.75" thickBot="1">
      <c r="C90" s="105"/>
      <c r="D90" s="105"/>
      <c r="E90" s="125"/>
      <c r="F90" s="126"/>
      <c r="G90" s="125"/>
      <c r="H90" s="126"/>
      <c r="I90" s="125"/>
      <c r="J90" s="126"/>
      <c r="K90" s="125"/>
      <c r="L90" s="126"/>
      <c r="M90" s="125"/>
      <c r="N90" s="126"/>
      <c r="O90" s="125"/>
      <c r="P90" s="126"/>
      <c r="Q90" s="125"/>
      <c r="R90" s="126"/>
      <c r="S90" s="125"/>
      <c r="T90" s="126"/>
      <c r="U90" s="125"/>
      <c r="V90" s="126"/>
      <c r="W90" s="125"/>
      <c r="X90" s="126"/>
      <c r="Y90" s="126"/>
      <c r="Z90" s="126"/>
      <c r="AA90" s="126"/>
      <c r="AB90" s="126"/>
      <c r="AC90" s="126"/>
      <c r="AD90" s="127"/>
      <c r="AE90" s="125"/>
      <c r="AF90" s="126"/>
      <c r="AG90" s="126"/>
      <c r="AH90" s="126"/>
      <c r="AI90" s="126"/>
      <c r="AJ90" s="127"/>
      <c r="AK90" s="125"/>
      <c r="AL90" s="125"/>
      <c r="AM90" s="125"/>
      <c r="AN90" s="125"/>
      <c r="AO90" s="125"/>
      <c r="AP90" s="125"/>
      <c r="AQ90" s="125"/>
      <c r="AR90" s="126"/>
      <c r="AS90" s="126"/>
      <c r="AT90" s="126"/>
      <c r="AU90" s="126"/>
      <c r="AV90" s="127"/>
      <c r="AW90" s="125"/>
      <c r="AX90" s="126"/>
      <c r="AY90" s="126"/>
      <c r="AZ90" s="126"/>
      <c r="BA90" s="126"/>
      <c r="BB90" s="126"/>
      <c r="BC90" s="126"/>
      <c r="BD90" s="126"/>
      <c r="BE90" s="126"/>
      <c r="BF90" s="127"/>
      <c r="BG90" s="126"/>
      <c r="BH90" s="126"/>
      <c r="BI90" s="126"/>
      <c r="BJ90" s="126"/>
      <c r="BK90" s="126"/>
      <c r="BL90" s="127"/>
      <c r="BM90" s="126"/>
      <c r="BN90" s="126"/>
      <c r="BO90" s="126"/>
      <c r="BP90" s="126"/>
      <c r="BQ90" s="126"/>
      <c r="BR90" s="127"/>
    </row>
    <row r="91" spans="3:70">
      <c r="C91" s="105">
        <v>240</v>
      </c>
      <c r="D91" s="105"/>
      <c r="E91" s="118"/>
      <c r="F91" s="119"/>
      <c r="G91" s="119"/>
      <c r="H91" s="119"/>
      <c r="I91" s="119"/>
      <c r="J91" s="120"/>
      <c r="K91" s="118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20"/>
      <c r="Y91" s="119"/>
      <c r="Z91" s="119"/>
      <c r="AA91" s="119"/>
      <c r="AB91" s="119"/>
      <c r="AC91" s="119"/>
      <c r="AD91" s="120"/>
      <c r="AE91" s="118"/>
      <c r="AF91" s="119"/>
      <c r="AG91" s="119"/>
      <c r="AH91" s="119"/>
      <c r="AI91" s="119"/>
      <c r="AJ91" s="120"/>
      <c r="AK91" s="118"/>
      <c r="AL91" s="118"/>
      <c r="AM91" s="118"/>
      <c r="AN91" s="118"/>
      <c r="AO91" s="118"/>
      <c r="AP91" s="118"/>
      <c r="AQ91" s="118">
        <f>AQ14+$H$80*3</f>
        <v>1638.7391234773272</v>
      </c>
      <c r="AR91" s="119">
        <f>AR14+$H$79*2</f>
        <v>388.75546768816508</v>
      </c>
      <c r="AS91" s="119"/>
      <c r="AT91" s="119"/>
      <c r="AU91" s="118">
        <f>AU14+$H$80*3</f>
        <v>1638.7391234773272</v>
      </c>
      <c r="AV91" s="119">
        <f>AV14+$H$79*2</f>
        <v>388.75546768816508</v>
      </c>
      <c r="AW91" s="118">
        <f>AW14+$H$80*3</f>
        <v>1616.1427636755695</v>
      </c>
      <c r="AX91" s="119">
        <f>AX14+$H$79*3</f>
        <v>619.20512594323384</v>
      </c>
      <c r="AY91" s="118">
        <f>AY14+$H$80*3</f>
        <v>1567.2874277060948</v>
      </c>
      <c r="AZ91" s="119">
        <f t="shared" ref="AZ91:BF91" si="19">AZ14+$H$79*3</f>
        <v>618.99654335577975</v>
      </c>
      <c r="BA91" s="118">
        <f>BA14+$H$80*3</f>
        <v>1532.1113700949277</v>
      </c>
      <c r="BB91" s="119">
        <f t="shared" ref="BB91:BF91" si="20">BB14+$H$79*3</f>
        <v>509.45653793944393</v>
      </c>
      <c r="BC91" s="118">
        <f>BC14+$H$80*3</f>
        <v>1612.253610408703</v>
      </c>
      <c r="BD91" s="119">
        <f t="shared" ref="BD91:BF91" si="21">BD14+$H$79*3</f>
        <v>517.66789005278861</v>
      </c>
      <c r="BE91" s="118">
        <f>BE14+$H$80*3</f>
        <v>1581.9487929713237</v>
      </c>
      <c r="BF91" s="119">
        <f t="shared" ref="BF91" si="22">BF14+$H$79*3</f>
        <v>566.33152432281156</v>
      </c>
      <c r="BG91" s="118">
        <f>BG14+$H$80*3</f>
        <v>1644.1353966745221</v>
      </c>
      <c r="BH91" s="119">
        <f>BH14+$H$79*4</f>
        <v>771.29431796515246</v>
      </c>
      <c r="BI91" s="119"/>
      <c r="BJ91" s="119"/>
      <c r="BK91" s="118">
        <f>BK14+$H$80*3</f>
        <v>1644.1353966745221</v>
      </c>
      <c r="BL91" s="119">
        <f>BL14+$H$79*4</f>
        <v>771.29431796515246</v>
      </c>
      <c r="BM91" s="118">
        <f>BM14+$H$80*3</f>
        <v>1687.2807637367134</v>
      </c>
      <c r="BN91" s="119">
        <f>BN14+$H$79*5</f>
        <v>1003.7737729980311</v>
      </c>
      <c r="BO91" s="118">
        <f>BO14+$H$80*3</f>
        <v>1625.6064214505832</v>
      </c>
      <c r="BP91" s="119">
        <f t="shared" ref="BP91:BR91" si="23">BP14+$H$79*5</f>
        <v>886.97228650260604</v>
      </c>
      <c r="BQ91" s="118">
        <f>BQ14+$H$80*3</f>
        <v>1656.4435925936482</v>
      </c>
      <c r="BR91" s="119">
        <f>BR14+$H$79*5</f>
        <v>945.37302975031855</v>
      </c>
    </row>
    <row r="92" spans="3:70" ht="15.75" thickBot="1">
      <c r="C92" s="105"/>
      <c r="D92" s="105"/>
      <c r="E92" s="125"/>
      <c r="F92" s="126"/>
      <c r="G92" s="126"/>
      <c r="H92" s="126"/>
      <c r="I92" s="126"/>
      <c r="J92" s="127"/>
      <c r="K92" s="125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7"/>
      <c r="Y92" s="126"/>
      <c r="Z92" s="126"/>
      <c r="AA92" s="126"/>
      <c r="AB92" s="126"/>
      <c r="AC92" s="126"/>
      <c r="AD92" s="127"/>
      <c r="AE92" s="125"/>
      <c r="AF92" s="126"/>
      <c r="AG92" s="126"/>
      <c r="AH92" s="126"/>
      <c r="AI92" s="126"/>
      <c r="AJ92" s="127"/>
      <c r="AK92" s="125"/>
      <c r="AL92" s="125"/>
      <c r="AM92" s="125"/>
      <c r="AN92" s="125"/>
      <c r="AO92" s="125"/>
      <c r="AP92" s="125"/>
      <c r="AQ92" s="125"/>
      <c r="AR92" s="126"/>
      <c r="AS92" s="126"/>
      <c r="AT92" s="126"/>
      <c r="AU92" s="125"/>
      <c r="AV92" s="126"/>
      <c r="AW92" s="125"/>
      <c r="AX92" s="126"/>
      <c r="AY92" s="125"/>
      <c r="AZ92" s="126"/>
      <c r="BA92" s="125"/>
      <c r="BB92" s="126"/>
      <c r="BC92" s="125"/>
      <c r="BD92" s="126"/>
      <c r="BE92" s="125"/>
      <c r="BF92" s="126"/>
      <c r="BG92" s="125"/>
      <c r="BH92" s="126"/>
      <c r="BI92" s="126"/>
      <c r="BJ92" s="126"/>
      <c r="BK92" s="125"/>
      <c r="BL92" s="126"/>
      <c r="BM92" s="125"/>
      <c r="BN92" s="126"/>
      <c r="BO92" s="125"/>
      <c r="BP92" s="126"/>
      <c r="BQ92" s="125"/>
      <c r="BR92" s="126"/>
    </row>
  </sheetData>
  <mergeCells count="625">
    <mergeCell ref="BN91:BN92"/>
    <mergeCell ref="BO91:BO92"/>
    <mergeCell ref="BP91:BP92"/>
    <mergeCell ref="BQ91:BQ92"/>
    <mergeCell ref="BR91:BR92"/>
    <mergeCell ref="BI91:BI92"/>
    <mergeCell ref="BJ91:BJ92"/>
    <mergeCell ref="BK91:BK92"/>
    <mergeCell ref="BL91:BL92"/>
    <mergeCell ref="BM91:BM92"/>
    <mergeCell ref="BD91:BD92"/>
    <mergeCell ref="BE91:BE92"/>
    <mergeCell ref="BF91:BF92"/>
    <mergeCell ref="BG91:BG92"/>
    <mergeCell ref="BH91:BH92"/>
    <mergeCell ref="AY91:AY92"/>
    <mergeCell ref="AZ91:AZ92"/>
    <mergeCell ref="BA91:BA92"/>
    <mergeCell ref="BB91:BB92"/>
    <mergeCell ref="BC91:BC92"/>
    <mergeCell ref="AT91:AT92"/>
    <mergeCell ref="AU91:AU92"/>
    <mergeCell ref="AV91:AV92"/>
    <mergeCell ref="AW91:AW92"/>
    <mergeCell ref="AX91:AX92"/>
    <mergeCell ref="AO91:AO92"/>
    <mergeCell ref="AP91:AP92"/>
    <mergeCell ref="AQ91:AQ92"/>
    <mergeCell ref="AR91:AR92"/>
    <mergeCell ref="AS91:AS92"/>
    <mergeCell ref="AJ91:AJ92"/>
    <mergeCell ref="AK91:AK92"/>
    <mergeCell ref="AL91:AL92"/>
    <mergeCell ref="AM91:AM92"/>
    <mergeCell ref="AN91:AN92"/>
    <mergeCell ref="AE91:AE92"/>
    <mergeCell ref="AF91:AF92"/>
    <mergeCell ref="AG91:AG92"/>
    <mergeCell ref="AH91:AH92"/>
    <mergeCell ref="AI91:AI92"/>
    <mergeCell ref="Z91:Z92"/>
    <mergeCell ref="AA91:AA92"/>
    <mergeCell ref="AB91:AB92"/>
    <mergeCell ref="AC91:AC92"/>
    <mergeCell ref="AD91:AD92"/>
    <mergeCell ref="U91:U92"/>
    <mergeCell ref="V91:V92"/>
    <mergeCell ref="W91:W92"/>
    <mergeCell ref="X91:X92"/>
    <mergeCell ref="Y91:Y92"/>
    <mergeCell ref="P91:P92"/>
    <mergeCell ref="Q91:Q92"/>
    <mergeCell ref="R91:R92"/>
    <mergeCell ref="S91:S92"/>
    <mergeCell ref="T91:T92"/>
    <mergeCell ref="BO89:BO90"/>
    <mergeCell ref="BP89:BP90"/>
    <mergeCell ref="BQ89:BQ90"/>
    <mergeCell ref="BR89:BR90"/>
    <mergeCell ref="C91:D92"/>
    <mergeCell ref="E91:E92"/>
    <mergeCell ref="F91:F92"/>
    <mergeCell ref="G91:G92"/>
    <mergeCell ref="H91:H92"/>
    <mergeCell ref="I91:I92"/>
    <mergeCell ref="J91:J92"/>
    <mergeCell ref="K91:K92"/>
    <mergeCell ref="L91:L92"/>
    <mergeCell ref="M91:M92"/>
    <mergeCell ref="N91:N92"/>
    <mergeCell ref="O91:O92"/>
    <mergeCell ref="BJ89:BJ90"/>
    <mergeCell ref="BK89:BK90"/>
    <mergeCell ref="BL89:BL90"/>
    <mergeCell ref="BM89:BM90"/>
    <mergeCell ref="BN89:BN90"/>
    <mergeCell ref="BE89:BE90"/>
    <mergeCell ref="BF89:BF90"/>
    <mergeCell ref="BG89:BG90"/>
    <mergeCell ref="BH89:BH90"/>
    <mergeCell ref="BI89:BI90"/>
    <mergeCell ref="AZ89:AZ90"/>
    <mergeCell ref="BA89:BA90"/>
    <mergeCell ref="BB89:BB90"/>
    <mergeCell ref="BC89:BC90"/>
    <mergeCell ref="BD89:BD90"/>
    <mergeCell ref="AU89:AU90"/>
    <mergeCell ref="AV89:AV90"/>
    <mergeCell ref="AW89:AW90"/>
    <mergeCell ref="AX89:AX90"/>
    <mergeCell ref="AY89:AY90"/>
    <mergeCell ref="AP89:AP90"/>
    <mergeCell ref="AQ89:AQ90"/>
    <mergeCell ref="AR89:AR90"/>
    <mergeCell ref="AS89:AS90"/>
    <mergeCell ref="AT89:AT90"/>
    <mergeCell ref="AK89:AK90"/>
    <mergeCell ref="AL89:AL90"/>
    <mergeCell ref="AM89:AM90"/>
    <mergeCell ref="AN89:AN90"/>
    <mergeCell ref="AO89:AO90"/>
    <mergeCell ref="AF89:AF90"/>
    <mergeCell ref="AG89:AG90"/>
    <mergeCell ref="AH89:AH90"/>
    <mergeCell ref="AI89:AI90"/>
    <mergeCell ref="AJ89:AJ90"/>
    <mergeCell ref="AA89:AA90"/>
    <mergeCell ref="AB89:AB90"/>
    <mergeCell ref="AC89:AC90"/>
    <mergeCell ref="AD89:AD90"/>
    <mergeCell ref="AE89:AE90"/>
    <mergeCell ref="V89:V90"/>
    <mergeCell ref="W89:W90"/>
    <mergeCell ref="X89:X90"/>
    <mergeCell ref="Y89:Y90"/>
    <mergeCell ref="Z89:Z90"/>
    <mergeCell ref="Q89:Q90"/>
    <mergeCell ref="R89:R90"/>
    <mergeCell ref="S89:S90"/>
    <mergeCell ref="T89:T90"/>
    <mergeCell ref="U89:U90"/>
    <mergeCell ref="BP87:BP88"/>
    <mergeCell ref="BQ87:BQ88"/>
    <mergeCell ref="BR87:BR88"/>
    <mergeCell ref="C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N89:N90"/>
    <mergeCell ref="O89:O90"/>
    <mergeCell ref="P89:P90"/>
    <mergeCell ref="BK87:BK88"/>
    <mergeCell ref="BL87:BL88"/>
    <mergeCell ref="BM87:BM88"/>
    <mergeCell ref="BN87:BN88"/>
    <mergeCell ref="BO87:BO88"/>
    <mergeCell ref="BF87:BF88"/>
    <mergeCell ref="BG87:BG88"/>
    <mergeCell ref="BH87:BH88"/>
    <mergeCell ref="BI87:BI88"/>
    <mergeCell ref="BJ87:BJ88"/>
    <mergeCell ref="BA87:BA88"/>
    <mergeCell ref="BB87:BB88"/>
    <mergeCell ref="BC87:BC88"/>
    <mergeCell ref="BD87:BD88"/>
    <mergeCell ref="BE87:BE88"/>
    <mergeCell ref="AV87:AV88"/>
    <mergeCell ref="AW87:AW88"/>
    <mergeCell ref="AX87:AX88"/>
    <mergeCell ref="AY87:AY88"/>
    <mergeCell ref="AZ87:AZ88"/>
    <mergeCell ref="AQ87:AQ88"/>
    <mergeCell ref="AR87:AR88"/>
    <mergeCell ref="AS87:AS88"/>
    <mergeCell ref="AT87:AT88"/>
    <mergeCell ref="AU87:AU88"/>
    <mergeCell ref="AL87:AL88"/>
    <mergeCell ref="AM87:AM88"/>
    <mergeCell ref="AN87:AN88"/>
    <mergeCell ref="AO87:AO88"/>
    <mergeCell ref="AP87:AP88"/>
    <mergeCell ref="AG87:AG88"/>
    <mergeCell ref="AH87:AH88"/>
    <mergeCell ref="AI87:AI88"/>
    <mergeCell ref="AJ87:AJ88"/>
    <mergeCell ref="AK87:AK88"/>
    <mergeCell ref="AB87:AB88"/>
    <mergeCell ref="AC87:AC88"/>
    <mergeCell ref="AD87:AD88"/>
    <mergeCell ref="AE87:AE88"/>
    <mergeCell ref="AF87:AF88"/>
    <mergeCell ref="W87:W88"/>
    <mergeCell ref="X87:X88"/>
    <mergeCell ref="Y87:Y88"/>
    <mergeCell ref="Z87:Z88"/>
    <mergeCell ref="AA87:AA88"/>
    <mergeCell ref="R87:R88"/>
    <mergeCell ref="S87:S88"/>
    <mergeCell ref="T87:T88"/>
    <mergeCell ref="U87:U88"/>
    <mergeCell ref="V87:V88"/>
    <mergeCell ref="BQ85:BQ86"/>
    <mergeCell ref="BR85:BR86"/>
    <mergeCell ref="C87:D88"/>
    <mergeCell ref="E87:E88"/>
    <mergeCell ref="F87:F88"/>
    <mergeCell ref="G87:G88"/>
    <mergeCell ref="H87:H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BL85:BL86"/>
    <mergeCell ref="BM85:BM86"/>
    <mergeCell ref="BN85:BN86"/>
    <mergeCell ref="BO85:BO86"/>
    <mergeCell ref="BP85:BP86"/>
    <mergeCell ref="BG85:BG86"/>
    <mergeCell ref="BH85:BH86"/>
    <mergeCell ref="BI85:BI86"/>
    <mergeCell ref="BJ85:BJ86"/>
    <mergeCell ref="BK85:BK86"/>
    <mergeCell ref="BB85:BB86"/>
    <mergeCell ref="BC85:BC86"/>
    <mergeCell ref="BD85:BD86"/>
    <mergeCell ref="BE85:BE86"/>
    <mergeCell ref="BF85:BF86"/>
    <mergeCell ref="AW85:AW86"/>
    <mergeCell ref="AX85:AX86"/>
    <mergeCell ref="AY85:AY86"/>
    <mergeCell ref="AZ85:AZ86"/>
    <mergeCell ref="BA85:BA86"/>
    <mergeCell ref="AR85:AR86"/>
    <mergeCell ref="AS85:AS86"/>
    <mergeCell ref="AT85:AT86"/>
    <mergeCell ref="AU85:AU86"/>
    <mergeCell ref="AV85:AV86"/>
    <mergeCell ref="AM85:AM86"/>
    <mergeCell ref="AN85:AN86"/>
    <mergeCell ref="AO85:AO86"/>
    <mergeCell ref="AP85:AP86"/>
    <mergeCell ref="AQ85:AQ86"/>
    <mergeCell ref="AH85:AH86"/>
    <mergeCell ref="AI85:AI86"/>
    <mergeCell ref="AJ85:AJ86"/>
    <mergeCell ref="AK85:AK86"/>
    <mergeCell ref="AL85:AL86"/>
    <mergeCell ref="AC85:AC86"/>
    <mergeCell ref="AD85:AD86"/>
    <mergeCell ref="AE85:AE86"/>
    <mergeCell ref="AF85:AF86"/>
    <mergeCell ref="AG85:AG86"/>
    <mergeCell ref="X85:X86"/>
    <mergeCell ref="Y85:Y86"/>
    <mergeCell ref="Z85:Z86"/>
    <mergeCell ref="AA85:AA86"/>
    <mergeCell ref="AB85:AB86"/>
    <mergeCell ref="S85:S86"/>
    <mergeCell ref="T85:T86"/>
    <mergeCell ref="U85:U86"/>
    <mergeCell ref="V85:V86"/>
    <mergeCell ref="W85:W86"/>
    <mergeCell ref="N85:N86"/>
    <mergeCell ref="O85:O86"/>
    <mergeCell ref="P85:P86"/>
    <mergeCell ref="Q85:Q86"/>
    <mergeCell ref="R85:R86"/>
    <mergeCell ref="I85:I86"/>
    <mergeCell ref="J85:J86"/>
    <mergeCell ref="K85:K86"/>
    <mergeCell ref="L85:L86"/>
    <mergeCell ref="M85:M86"/>
    <mergeCell ref="C85:D86"/>
    <mergeCell ref="E85:E86"/>
    <mergeCell ref="F85:F86"/>
    <mergeCell ref="G85:G86"/>
    <mergeCell ref="H85:H86"/>
    <mergeCell ref="BK83:BL83"/>
    <mergeCell ref="BM83:BN83"/>
    <mergeCell ref="BO83:BP83"/>
    <mergeCell ref="BQ83:BR83"/>
    <mergeCell ref="C84:D84"/>
    <mergeCell ref="BA83:BB83"/>
    <mergeCell ref="BC83:BD83"/>
    <mergeCell ref="BE83:BF83"/>
    <mergeCell ref="BG83:BH83"/>
    <mergeCell ref="BI83:BJ83"/>
    <mergeCell ref="AQ83:AR83"/>
    <mergeCell ref="AS83:AT83"/>
    <mergeCell ref="AU83:AV83"/>
    <mergeCell ref="AW83:AX83"/>
    <mergeCell ref="AY83:AZ83"/>
    <mergeCell ref="AG83:AH83"/>
    <mergeCell ref="AI83:AJ83"/>
    <mergeCell ref="AK83:AL83"/>
    <mergeCell ref="AM83:AN83"/>
    <mergeCell ref="AO83:AP83"/>
    <mergeCell ref="BG82:BL82"/>
    <mergeCell ref="BM82:BR82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Y82:AD82"/>
    <mergeCell ref="AE82:AJ82"/>
    <mergeCell ref="AK82:AP82"/>
    <mergeCell ref="AQ82:AV82"/>
    <mergeCell ref="AW82:BF82"/>
    <mergeCell ref="U10:U11"/>
    <mergeCell ref="V10:V11"/>
    <mergeCell ref="C82:D83"/>
    <mergeCell ref="E82:J82"/>
    <mergeCell ref="K82:X82"/>
    <mergeCell ref="P14:P15"/>
    <mergeCell ref="Q14:Q15"/>
    <mergeCell ref="R14:R15"/>
    <mergeCell ref="S8:S9"/>
    <mergeCell ref="T8:T9"/>
    <mergeCell ref="S10:S11"/>
    <mergeCell ref="T10:T11"/>
    <mergeCell ref="K14:K15"/>
    <mergeCell ref="L14:L15"/>
    <mergeCell ref="M14:M15"/>
    <mergeCell ref="N14:N15"/>
    <mergeCell ref="O14:O15"/>
    <mergeCell ref="P10:P11"/>
    <mergeCell ref="Q10:Q11"/>
    <mergeCell ref="R10:R11"/>
    <mergeCell ref="K12:K13"/>
    <mergeCell ref="L12:L13"/>
    <mergeCell ref="M12:M13"/>
    <mergeCell ref="N12:N13"/>
    <mergeCell ref="O12:O13"/>
    <mergeCell ref="P12:P13"/>
    <mergeCell ref="Q12:Q13"/>
    <mergeCell ref="R12:R13"/>
    <mergeCell ref="O10:O11"/>
    <mergeCell ref="BA6:BB6"/>
    <mergeCell ref="AW5:BF5"/>
    <mergeCell ref="BG5:BL5"/>
    <mergeCell ref="BA14:BA15"/>
    <mergeCell ref="BB14:BB15"/>
    <mergeCell ref="BE6:BF6"/>
    <mergeCell ref="BG6:BH6"/>
    <mergeCell ref="BI6:BJ6"/>
    <mergeCell ref="BF8:BF9"/>
    <mergeCell ref="BG8:BG9"/>
    <mergeCell ref="BH8:BH9"/>
    <mergeCell ref="BI8:BI9"/>
    <mergeCell ref="BN14:BN15"/>
    <mergeCell ref="BO14:BO15"/>
    <mergeCell ref="BP14:BP15"/>
    <mergeCell ref="BQ14:BQ15"/>
    <mergeCell ref="BR14:BR15"/>
    <mergeCell ref="BE14:BE15"/>
    <mergeCell ref="BJ14:BJ15"/>
    <mergeCell ref="BK14:BK15"/>
    <mergeCell ref="BL14:BL15"/>
    <mergeCell ref="BM14:BM15"/>
    <mergeCell ref="BF14:BF15"/>
    <mergeCell ref="BG14:BG15"/>
    <mergeCell ref="BH14:BH15"/>
    <mergeCell ref="BI14:BI15"/>
    <mergeCell ref="AZ14:AZ15"/>
    <mergeCell ref="AW14:AW15"/>
    <mergeCell ref="AX14:AX15"/>
    <mergeCell ref="BC14:BC15"/>
    <mergeCell ref="BD14:BD15"/>
    <mergeCell ref="AU14:AU15"/>
    <mergeCell ref="AV14:AV15"/>
    <mergeCell ref="AY14:AY15"/>
    <mergeCell ref="AP14:AP15"/>
    <mergeCell ref="AQ14:AQ15"/>
    <mergeCell ref="AR14:AR15"/>
    <mergeCell ref="AS14:AS15"/>
    <mergeCell ref="AT14:AT15"/>
    <mergeCell ref="AK14:AK15"/>
    <mergeCell ref="AL14:AL15"/>
    <mergeCell ref="AM14:AM15"/>
    <mergeCell ref="AN14:AN15"/>
    <mergeCell ref="AO14:AO15"/>
    <mergeCell ref="BN12:BN13"/>
    <mergeCell ref="BO12:BO13"/>
    <mergeCell ref="BP12:BP13"/>
    <mergeCell ref="BQ12:BQ13"/>
    <mergeCell ref="BR12:BR13"/>
    <mergeCell ref="BE12:BE13"/>
    <mergeCell ref="BJ12:BJ13"/>
    <mergeCell ref="BK12:BK13"/>
    <mergeCell ref="BL12:BL13"/>
    <mergeCell ref="BM12:BM13"/>
    <mergeCell ref="BF12:BF13"/>
    <mergeCell ref="BG12:BG13"/>
    <mergeCell ref="BH12:BH13"/>
    <mergeCell ref="BI12:BI13"/>
    <mergeCell ref="AZ12:AZ13"/>
    <mergeCell ref="BA12:BA13"/>
    <mergeCell ref="BB12:BB13"/>
    <mergeCell ref="BC12:BC13"/>
    <mergeCell ref="BD12:BD13"/>
    <mergeCell ref="AU12:AU13"/>
    <mergeCell ref="AV12:AV13"/>
    <mergeCell ref="AW12:AW13"/>
    <mergeCell ref="AX12:AX13"/>
    <mergeCell ref="AY12:AY13"/>
    <mergeCell ref="AP12:AP13"/>
    <mergeCell ref="AQ12:AQ13"/>
    <mergeCell ref="AR12:AR13"/>
    <mergeCell ref="AS12:AS13"/>
    <mergeCell ref="AT12:AT13"/>
    <mergeCell ref="AK12:AK13"/>
    <mergeCell ref="AL12:AL13"/>
    <mergeCell ref="AM12:AM13"/>
    <mergeCell ref="AN12:AN13"/>
    <mergeCell ref="AO12:AO13"/>
    <mergeCell ref="BN10:BN11"/>
    <mergeCell ref="BO10:BO11"/>
    <mergeCell ref="BP10:BP11"/>
    <mergeCell ref="BQ10:BQ11"/>
    <mergeCell ref="BR10:BR11"/>
    <mergeCell ref="BE10:BE11"/>
    <mergeCell ref="BJ10:BJ11"/>
    <mergeCell ref="BK10:BK11"/>
    <mergeCell ref="BL10:BL11"/>
    <mergeCell ref="BM10:BM11"/>
    <mergeCell ref="BF10:BF11"/>
    <mergeCell ref="BG10:BG11"/>
    <mergeCell ref="BH10:BH11"/>
    <mergeCell ref="BI10:BI11"/>
    <mergeCell ref="AZ10:AZ11"/>
    <mergeCell ref="BA10:BA11"/>
    <mergeCell ref="BB10:BB11"/>
    <mergeCell ref="BC10:BC11"/>
    <mergeCell ref="BD10:BD11"/>
    <mergeCell ref="AU10:AU11"/>
    <mergeCell ref="AV10:AV11"/>
    <mergeCell ref="AW10:AW11"/>
    <mergeCell ref="AX10:AX11"/>
    <mergeCell ref="AY10:AY11"/>
    <mergeCell ref="AP10:AP11"/>
    <mergeCell ref="AQ10:AQ11"/>
    <mergeCell ref="AR10:AR11"/>
    <mergeCell ref="AS10:AS11"/>
    <mergeCell ref="AT10:AT11"/>
    <mergeCell ref="AK10:AK11"/>
    <mergeCell ref="AL10:AL11"/>
    <mergeCell ref="AM10:AM11"/>
    <mergeCell ref="AN10:AN11"/>
    <mergeCell ref="AO10:AO11"/>
    <mergeCell ref="BN8:BN9"/>
    <mergeCell ref="BO8:BO9"/>
    <mergeCell ref="BP8:BP9"/>
    <mergeCell ref="BQ8:BQ9"/>
    <mergeCell ref="BR8:BR9"/>
    <mergeCell ref="BE8:BE9"/>
    <mergeCell ref="BJ8:BJ9"/>
    <mergeCell ref="BK8:BK9"/>
    <mergeCell ref="BL8:BL9"/>
    <mergeCell ref="BM8:BM9"/>
    <mergeCell ref="AZ8:AZ9"/>
    <mergeCell ref="BA8:BA9"/>
    <mergeCell ref="BB8:BB9"/>
    <mergeCell ref="BC8:BC9"/>
    <mergeCell ref="BD8:BD9"/>
    <mergeCell ref="AU8:AU9"/>
    <mergeCell ref="AV8:AV9"/>
    <mergeCell ref="AW8:AW9"/>
    <mergeCell ref="AX8:AX9"/>
    <mergeCell ref="AY8:AY9"/>
    <mergeCell ref="AP8:AP9"/>
    <mergeCell ref="AQ8:AQ9"/>
    <mergeCell ref="AR8:AR9"/>
    <mergeCell ref="AS8:AS9"/>
    <mergeCell ref="AT8:AT9"/>
    <mergeCell ref="AK8:AK9"/>
    <mergeCell ref="AL8:AL9"/>
    <mergeCell ref="AM8:AM9"/>
    <mergeCell ref="AN8:AN9"/>
    <mergeCell ref="AO8:AO9"/>
    <mergeCell ref="AF14:AF15"/>
    <mergeCell ref="AG14:AG15"/>
    <mergeCell ref="AH14:AH15"/>
    <mergeCell ref="AI14:AI15"/>
    <mergeCell ref="AJ14:AJ15"/>
    <mergeCell ref="AA14:AA15"/>
    <mergeCell ref="AB14:AB15"/>
    <mergeCell ref="AC14:AC15"/>
    <mergeCell ref="AD14:AD15"/>
    <mergeCell ref="AE14:AE15"/>
    <mergeCell ref="AI12:AI13"/>
    <mergeCell ref="AJ12:AJ13"/>
    <mergeCell ref="E14:E15"/>
    <mergeCell ref="F14:F15"/>
    <mergeCell ref="G14:G15"/>
    <mergeCell ref="H14:H15"/>
    <mergeCell ref="I14:I15"/>
    <mergeCell ref="J14:J15"/>
    <mergeCell ref="S14:S15"/>
    <mergeCell ref="T14:T15"/>
    <mergeCell ref="U14:U15"/>
    <mergeCell ref="V14:V15"/>
    <mergeCell ref="W14:W15"/>
    <mergeCell ref="X14:X15"/>
    <mergeCell ref="Y14:Y15"/>
    <mergeCell ref="Z14:Z15"/>
    <mergeCell ref="AD12:AD13"/>
    <mergeCell ref="AE12:AE13"/>
    <mergeCell ref="AF12:AF13"/>
    <mergeCell ref="AG12:AG13"/>
    <mergeCell ref="AH12:AH13"/>
    <mergeCell ref="Y12:Y13"/>
    <mergeCell ref="Z12:Z13"/>
    <mergeCell ref="AA12:AA13"/>
    <mergeCell ref="AB12:AB13"/>
    <mergeCell ref="AC12:AC13"/>
    <mergeCell ref="AG10:AG11"/>
    <mergeCell ref="AH10:AH11"/>
    <mergeCell ref="AI10:AI11"/>
    <mergeCell ref="AJ10:AJ11"/>
    <mergeCell ref="E12:E13"/>
    <mergeCell ref="F12:F13"/>
    <mergeCell ref="G12:G13"/>
    <mergeCell ref="H12:H13"/>
    <mergeCell ref="I12:I13"/>
    <mergeCell ref="J12:J13"/>
    <mergeCell ref="S12:S13"/>
    <mergeCell ref="T12:T13"/>
    <mergeCell ref="U12:U13"/>
    <mergeCell ref="V12:V13"/>
    <mergeCell ref="W12:W13"/>
    <mergeCell ref="X12:X13"/>
    <mergeCell ref="AB10:AB11"/>
    <mergeCell ref="AC10:AC11"/>
    <mergeCell ref="AD10:AD11"/>
    <mergeCell ref="AE10:AE11"/>
    <mergeCell ref="AF10:AF11"/>
    <mergeCell ref="AJ8:AJ9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W10:W11"/>
    <mergeCell ref="X10:X11"/>
    <mergeCell ref="Y10:Y11"/>
    <mergeCell ref="Z10:Z11"/>
    <mergeCell ref="AA10:AA11"/>
    <mergeCell ref="AE8:AE9"/>
    <mergeCell ref="AF8:AF9"/>
    <mergeCell ref="AG8:AG9"/>
    <mergeCell ref="AH8:AH9"/>
    <mergeCell ref="AI8:AI9"/>
    <mergeCell ref="Z8:Z9"/>
    <mergeCell ref="AA8:AA9"/>
    <mergeCell ref="AB8:AB9"/>
    <mergeCell ref="AC8:AC9"/>
    <mergeCell ref="AD8:AD9"/>
    <mergeCell ref="M8:M9"/>
    <mergeCell ref="N8:N9"/>
    <mergeCell ref="W8:W9"/>
    <mergeCell ref="X8:X9"/>
    <mergeCell ref="Y8:Y9"/>
    <mergeCell ref="U8:U9"/>
    <mergeCell ref="V8:V9"/>
    <mergeCell ref="H8:H9"/>
    <mergeCell ref="I8:I9"/>
    <mergeCell ref="J8:J9"/>
    <mergeCell ref="K8:K9"/>
    <mergeCell ref="L8:L9"/>
    <mergeCell ref="O8:O9"/>
    <mergeCell ref="P8:P9"/>
    <mergeCell ref="Q8:Q9"/>
    <mergeCell ref="R8:R9"/>
    <mergeCell ref="C8:D9"/>
    <mergeCell ref="C7:D7"/>
    <mergeCell ref="E8:E9"/>
    <mergeCell ref="F8:F9"/>
    <mergeCell ref="G8:G9"/>
    <mergeCell ref="AO6:AP6"/>
    <mergeCell ref="E5:J5"/>
    <mergeCell ref="E6:F6"/>
    <mergeCell ref="G6:H6"/>
    <mergeCell ref="I6:J6"/>
    <mergeCell ref="S6:T6"/>
    <mergeCell ref="U6:V6"/>
    <mergeCell ref="W6:X6"/>
    <mergeCell ref="K5:X5"/>
    <mergeCell ref="K6:L6"/>
    <mergeCell ref="M6:N6"/>
    <mergeCell ref="O6:P6"/>
    <mergeCell ref="Q6:R6"/>
    <mergeCell ref="C12:D13"/>
    <mergeCell ref="C14:D15"/>
    <mergeCell ref="C5:D6"/>
    <mergeCell ref="E4:BR4"/>
    <mergeCell ref="AQ5:AV5"/>
    <mergeCell ref="AQ6:AR6"/>
    <mergeCell ref="AS6:AT6"/>
    <mergeCell ref="AU6:AV6"/>
    <mergeCell ref="AW6:AX6"/>
    <mergeCell ref="AY6:AZ6"/>
    <mergeCell ref="BC6:BD6"/>
    <mergeCell ref="BK6:BL6"/>
    <mergeCell ref="BM5:BR5"/>
    <mergeCell ref="BM6:BN6"/>
    <mergeCell ref="BO6:BP6"/>
    <mergeCell ref="BQ6:BR6"/>
    <mergeCell ref="C10:D11"/>
    <mergeCell ref="Y5:AD5"/>
    <mergeCell ref="Y6:Z6"/>
    <mergeCell ref="AA6:AB6"/>
    <mergeCell ref="AC6:AD6"/>
    <mergeCell ref="AE5:AJ5"/>
    <mergeCell ref="AE6:AF6"/>
    <mergeCell ref="AG6:AH6"/>
    <mergeCell ref="AI6:AJ6"/>
    <mergeCell ref="AK5:AP5"/>
    <mergeCell ref="AK6:AL6"/>
    <mergeCell ref="AM6:AN6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B1:CG140"/>
  <sheetViews>
    <sheetView zoomScale="55" zoomScaleNormal="55" workbookViewId="0">
      <selection activeCell="I50" sqref="I50"/>
    </sheetView>
  </sheetViews>
  <sheetFormatPr defaultRowHeight="15"/>
  <cols>
    <col min="1" max="7" width="9.140625" style="31"/>
    <col min="8" max="8" width="17.7109375" style="31" customWidth="1"/>
    <col min="9" max="9" width="9.140625" style="67" customWidth="1"/>
    <col min="10" max="10" width="13.85546875" style="31" bestFit="1" customWidth="1"/>
    <col min="11" max="11" width="9.140625" style="31"/>
    <col min="12" max="12" width="15.85546875" style="31" bestFit="1" customWidth="1"/>
    <col min="13" max="13" width="14.5703125" style="31" bestFit="1" customWidth="1"/>
    <col min="14" max="14" width="15.7109375" style="31" bestFit="1" customWidth="1"/>
    <col min="15" max="21" width="9.140625" style="31"/>
    <col min="22" max="22" width="12.42578125" style="31" customWidth="1"/>
    <col min="23" max="23" width="11.28515625" style="31" customWidth="1"/>
    <col min="24" max="24" width="12.85546875" style="31" customWidth="1"/>
    <col min="25" max="25" width="12.28515625" style="31" customWidth="1"/>
    <col min="26" max="26" width="11" style="31" customWidth="1"/>
    <col min="27" max="27" width="4.42578125" style="31" customWidth="1"/>
    <col min="28" max="29" width="9.140625" style="31"/>
    <col min="30" max="30" width="13.28515625" style="31" customWidth="1"/>
    <col min="31" max="37" width="9.140625" style="31"/>
    <col min="38" max="38" width="3.5703125" style="31" customWidth="1"/>
    <col min="39" max="40" width="9.140625" style="31"/>
    <col min="41" max="43" width="9.140625" style="31" customWidth="1"/>
    <col min="44" max="48" width="9.140625" style="31"/>
    <col min="49" max="49" width="3.42578125" style="31" customWidth="1"/>
    <col min="50" max="59" width="9.140625" style="31"/>
    <col min="60" max="60" width="4.7109375" style="31" customWidth="1"/>
    <col min="61" max="61" width="8.140625" style="31" customWidth="1"/>
    <col min="62" max="74" width="9.140625" style="31"/>
    <col min="75" max="75" width="3" style="31" customWidth="1"/>
    <col min="76" max="16384" width="9.140625" style="31"/>
  </cols>
  <sheetData>
    <row r="1" spans="2:85" ht="15.75" thickBot="1">
      <c r="I1" s="32"/>
    </row>
    <row r="2" spans="2:85" ht="31.5" customHeight="1">
      <c r="B2" s="87" t="s">
        <v>37</v>
      </c>
      <c r="C2" s="88" t="s">
        <v>38</v>
      </c>
      <c r="D2" s="89"/>
      <c r="E2" s="89"/>
      <c r="F2" s="89"/>
      <c r="G2" s="90"/>
      <c r="H2" s="91" t="s">
        <v>54</v>
      </c>
      <c r="I2" s="92" t="s">
        <v>41</v>
      </c>
      <c r="J2" s="95" t="s">
        <v>39</v>
      </c>
      <c r="K2" s="96"/>
      <c r="L2" s="96"/>
      <c r="M2" s="96"/>
      <c r="N2" s="96"/>
      <c r="O2" s="97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X2" s="98" t="s">
        <v>42</v>
      </c>
      <c r="BY2" s="99"/>
      <c r="BZ2" s="99"/>
      <c r="CA2" s="99"/>
      <c r="CB2" s="99"/>
      <c r="CC2" s="99"/>
      <c r="CD2" s="99"/>
      <c r="CE2" s="99"/>
      <c r="CF2" s="99"/>
      <c r="CG2" s="100"/>
    </row>
    <row r="3" spans="2:85" ht="61.5" customHeight="1" thickBot="1">
      <c r="B3" s="87"/>
      <c r="C3" s="34" t="s">
        <v>24</v>
      </c>
      <c r="D3" s="35" t="s">
        <v>26</v>
      </c>
      <c r="E3" s="35" t="s">
        <v>83</v>
      </c>
      <c r="F3" s="35" t="s">
        <v>84</v>
      </c>
      <c r="G3" s="36" t="s">
        <v>43</v>
      </c>
      <c r="H3" s="91"/>
      <c r="I3" s="93"/>
      <c r="J3" s="101" t="s">
        <v>33</v>
      </c>
      <c r="K3" s="102"/>
      <c r="L3" s="102" t="s">
        <v>34</v>
      </c>
      <c r="M3" s="102"/>
      <c r="N3" s="102" t="s">
        <v>35</v>
      </c>
      <c r="O3" s="10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X3" s="37" t="s">
        <v>24</v>
      </c>
      <c r="BY3" s="38" t="s">
        <v>26</v>
      </c>
      <c r="BZ3" s="38" t="s">
        <v>28</v>
      </c>
      <c r="CA3" s="38" t="s">
        <v>30</v>
      </c>
      <c r="CB3" s="85" t="s">
        <v>33</v>
      </c>
      <c r="CC3" s="85"/>
      <c r="CD3" s="85" t="s">
        <v>34</v>
      </c>
      <c r="CE3" s="85"/>
      <c r="CF3" s="85" t="s">
        <v>35</v>
      </c>
      <c r="CG3" s="86"/>
    </row>
    <row r="4" spans="2:85" ht="27.75" customHeight="1" thickBot="1">
      <c r="B4" s="87"/>
      <c r="C4" s="39" t="s">
        <v>25</v>
      </c>
      <c r="D4" s="40" t="s">
        <v>27</v>
      </c>
      <c r="E4" s="40" t="s">
        <v>29</v>
      </c>
      <c r="F4" s="40" t="s">
        <v>29</v>
      </c>
      <c r="G4" s="41" t="s">
        <v>32</v>
      </c>
      <c r="H4" s="91"/>
      <c r="I4" s="94"/>
      <c r="J4" s="42" t="s">
        <v>3</v>
      </c>
      <c r="K4" s="42" t="s">
        <v>21</v>
      </c>
      <c r="L4" s="42" t="s">
        <v>3</v>
      </c>
      <c r="M4" s="42" t="s">
        <v>21</v>
      </c>
      <c r="N4" s="42" t="s">
        <v>36</v>
      </c>
      <c r="O4" s="42" t="s">
        <v>21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X4" s="37" t="s">
        <v>25</v>
      </c>
      <c r="BY4" s="38" t="s">
        <v>27</v>
      </c>
      <c r="BZ4" s="38" t="s">
        <v>29</v>
      </c>
      <c r="CA4" s="38" t="s">
        <v>29</v>
      </c>
      <c r="CB4" s="43" t="s">
        <v>3</v>
      </c>
      <c r="CC4" s="43" t="s">
        <v>21</v>
      </c>
      <c r="CD4" s="43" t="s">
        <v>3</v>
      </c>
      <c r="CE4" s="43" t="s">
        <v>21</v>
      </c>
      <c r="CF4" s="43" t="s">
        <v>36</v>
      </c>
      <c r="CG4" s="44" t="s">
        <v>21</v>
      </c>
    </row>
    <row r="5" spans="2:85" ht="27.75" customHeight="1" thickBot="1">
      <c r="B5" s="45">
        <v>1</v>
      </c>
      <c r="C5" s="46" t="s">
        <v>78</v>
      </c>
      <c r="D5" s="47">
        <v>203</v>
      </c>
      <c r="E5" s="47">
        <v>522</v>
      </c>
      <c r="F5" s="48">
        <v>3.1</v>
      </c>
      <c r="G5" s="49">
        <v>0</v>
      </c>
      <c r="H5" s="50" t="s">
        <v>77</v>
      </c>
      <c r="I5" s="51">
        <v>1</v>
      </c>
      <c r="J5" s="52"/>
      <c r="K5" s="42"/>
      <c r="L5" s="52"/>
      <c r="M5" s="42"/>
      <c r="N5" s="52"/>
      <c r="O5" s="4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X5" s="53"/>
      <c r="BY5" s="54"/>
      <c r="BZ5" s="54"/>
      <c r="CA5" s="54"/>
      <c r="CB5" s="55"/>
      <c r="CC5" s="55"/>
      <c r="CD5" s="43"/>
      <c r="CE5" s="43"/>
      <c r="CF5" s="43"/>
      <c r="CG5" s="44"/>
    </row>
    <row r="6" spans="2:85" ht="16.5" thickBot="1">
      <c r="B6" s="56">
        <v>2</v>
      </c>
      <c r="C6" s="57" t="s">
        <v>57</v>
      </c>
      <c r="D6" s="58">
        <v>193</v>
      </c>
      <c r="E6" s="58">
        <v>515</v>
      </c>
      <c r="F6" s="59">
        <v>3.4</v>
      </c>
      <c r="G6" s="58">
        <v>0</v>
      </c>
      <c r="H6" s="60" t="s">
        <v>64</v>
      </c>
      <c r="I6" s="60">
        <v>1</v>
      </c>
      <c r="J6" s="61">
        <v>82.84</v>
      </c>
      <c r="K6" s="62">
        <v>-6.97</v>
      </c>
      <c r="L6" s="63">
        <v>78.88</v>
      </c>
      <c r="M6" s="62">
        <v>-116.92</v>
      </c>
      <c r="N6" s="63">
        <v>80.86</v>
      </c>
      <c r="O6" s="62">
        <v>-61.94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X6" s="64" t="s">
        <v>31</v>
      </c>
      <c r="BY6" s="65">
        <v>225</v>
      </c>
      <c r="BZ6" s="65">
        <v>300</v>
      </c>
      <c r="CA6" s="65">
        <v>4500</v>
      </c>
      <c r="CB6" s="66" t="e">
        <f>#REF!</f>
        <v>#REF!</v>
      </c>
      <c r="CC6" s="66" t="e">
        <f>#REF!</f>
        <v>#REF!</v>
      </c>
      <c r="CD6" s="67"/>
      <c r="CE6" s="67"/>
      <c r="CF6" s="67"/>
      <c r="CG6" s="68"/>
    </row>
    <row r="7" spans="2:85" ht="26.25" customHeight="1">
      <c r="B7" s="81">
        <v>3</v>
      </c>
      <c r="C7" s="80" t="s">
        <v>57</v>
      </c>
      <c r="D7" s="79">
        <v>182</v>
      </c>
      <c r="E7" s="79">
        <v>469</v>
      </c>
      <c r="F7" s="75">
        <v>3.9</v>
      </c>
      <c r="G7" s="83">
        <v>-13</v>
      </c>
      <c r="H7" s="80" t="s">
        <v>63</v>
      </c>
      <c r="I7" s="80"/>
      <c r="J7" s="80">
        <v>51.73</v>
      </c>
      <c r="K7" s="80">
        <v>-45.75</v>
      </c>
      <c r="L7" s="80">
        <v>43.79</v>
      </c>
      <c r="M7" s="80">
        <v>-59.74</v>
      </c>
      <c r="N7" s="80">
        <v>47.76</v>
      </c>
      <c r="O7" s="80">
        <v>-52.74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X7" s="16"/>
      <c r="BY7" s="33"/>
      <c r="BZ7" s="33"/>
      <c r="CA7" s="33"/>
      <c r="CB7" s="33"/>
      <c r="CC7" s="33"/>
      <c r="CD7" s="33"/>
      <c r="CE7" s="33"/>
      <c r="CF7" s="33"/>
      <c r="CG7" s="17"/>
    </row>
    <row r="8" spans="2:85" ht="15.75" customHeight="1">
      <c r="B8" s="82"/>
      <c r="C8" s="80"/>
      <c r="D8" s="79"/>
      <c r="E8" s="79"/>
      <c r="F8" s="75"/>
      <c r="G8" s="84"/>
      <c r="H8" s="80"/>
      <c r="I8" s="80"/>
      <c r="J8" s="80"/>
      <c r="K8" s="80"/>
      <c r="L8" s="80"/>
      <c r="M8" s="80"/>
      <c r="N8" s="80"/>
      <c r="O8" s="80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X8" s="16"/>
      <c r="BY8" s="33"/>
      <c r="BZ8" s="33"/>
      <c r="CA8" s="33"/>
      <c r="CB8" s="33"/>
      <c r="CC8" s="33"/>
      <c r="CD8" s="33"/>
      <c r="CE8" s="33"/>
      <c r="CF8" s="33"/>
      <c r="CG8" s="17"/>
    </row>
    <row r="9" spans="2:85" ht="18.75" customHeight="1">
      <c r="B9" s="81">
        <v>4</v>
      </c>
      <c r="C9" s="80" t="s">
        <v>58</v>
      </c>
      <c r="D9" s="79">
        <v>194</v>
      </c>
      <c r="E9" s="79">
        <v>488</v>
      </c>
      <c r="F9" s="75">
        <v>3.2</v>
      </c>
      <c r="G9" s="83">
        <v>-15</v>
      </c>
      <c r="H9" s="80" t="s">
        <v>62</v>
      </c>
      <c r="I9" s="80"/>
      <c r="J9" s="80">
        <v>101.32</v>
      </c>
      <c r="K9" s="80" t="s">
        <v>55</v>
      </c>
      <c r="L9" s="80">
        <v>80.86</v>
      </c>
      <c r="M9" s="80">
        <v>48.15</v>
      </c>
      <c r="N9" s="80">
        <v>67.760000000000005</v>
      </c>
      <c r="O9" s="80" t="s">
        <v>56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X9" s="16"/>
      <c r="BY9" s="33"/>
      <c r="BZ9" s="33"/>
      <c r="CA9" s="33"/>
      <c r="CB9" s="33"/>
      <c r="CC9" s="33"/>
      <c r="CD9" s="33"/>
      <c r="CE9" s="33"/>
      <c r="CF9" s="33"/>
      <c r="CG9" s="17"/>
    </row>
    <row r="10" spans="2:85" ht="15.75" customHeight="1">
      <c r="B10" s="82"/>
      <c r="C10" s="80"/>
      <c r="D10" s="79"/>
      <c r="E10" s="79"/>
      <c r="F10" s="75"/>
      <c r="G10" s="84"/>
      <c r="H10" s="80"/>
      <c r="I10" s="80"/>
      <c r="J10" s="80"/>
      <c r="K10" s="80"/>
      <c r="L10" s="80"/>
      <c r="M10" s="80"/>
      <c r="N10" s="80"/>
      <c r="O10" s="80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X10" s="16"/>
      <c r="BY10" s="33"/>
      <c r="BZ10" s="33"/>
      <c r="CA10" s="33"/>
      <c r="CB10" s="33"/>
      <c r="CC10" s="33"/>
      <c r="CD10" s="33"/>
      <c r="CE10" s="33"/>
      <c r="CF10" s="33"/>
      <c r="CG10" s="17"/>
    </row>
    <row r="11" spans="2:85" ht="18.75" customHeight="1">
      <c r="B11" s="81">
        <v>5</v>
      </c>
      <c r="C11" s="72" t="s">
        <v>58</v>
      </c>
      <c r="D11" s="79">
        <v>217</v>
      </c>
      <c r="E11" s="79">
        <v>281</v>
      </c>
      <c r="F11" s="75">
        <v>4.2</v>
      </c>
      <c r="G11" s="76">
        <v>-14</v>
      </c>
      <c r="H11" s="72" t="s">
        <v>59</v>
      </c>
      <c r="I11" s="72">
        <v>2</v>
      </c>
      <c r="J11" s="72"/>
      <c r="K11" s="72"/>
      <c r="L11" s="72"/>
      <c r="M11" s="72"/>
      <c r="N11" s="72"/>
      <c r="O11" s="7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X11" s="16"/>
      <c r="BY11" s="33"/>
      <c r="BZ11" s="33"/>
      <c r="CA11" s="33"/>
      <c r="CB11" s="33"/>
      <c r="CC11" s="33"/>
      <c r="CD11" s="33"/>
      <c r="CE11" s="33"/>
      <c r="CF11" s="33"/>
      <c r="CG11" s="17"/>
    </row>
    <row r="12" spans="2:85" ht="15.75" customHeight="1">
      <c r="B12" s="82"/>
      <c r="C12" s="72"/>
      <c r="D12" s="79"/>
      <c r="E12" s="79"/>
      <c r="F12" s="75"/>
      <c r="G12" s="77"/>
      <c r="H12" s="72"/>
      <c r="I12" s="72"/>
      <c r="J12" s="72"/>
      <c r="K12" s="72"/>
      <c r="L12" s="72"/>
      <c r="M12" s="72"/>
      <c r="N12" s="72"/>
      <c r="O12" s="7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X12" s="16"/>
      <c r="BY12" s="33"/>
      <c r="BZ12" s="33"/>
      <c r="CA12" s="33"/>
      <c r="CB12" s="33"/>
      <c r="CC12" s="33"/>
      <c r="CD12" s="33"/>
      <c r="CE12" s="33"/>
      <c r="CF12" s="33"/>
      <c r="CG12" s="17"/>
    </row>
    <row r="13" spans="2:85" ht="18.75" customHeight="1">
      <c r="B13" s="73">
        <v>6</v>
      </c>
      <c r="C13" s="72" t="s">
        <v>57</v>
      </c>
      <c r="D13" s="79">
        <v>202</v>
      </c>
      <c r="E13" s="79">
        <v>285</v>
      </c>
      <c r="F13" s="75">
        <v>4.0999999999999996</v>
      </c>
      <c r="G13" s="76">
        <v>-14</v>
      </c>
      <c r="H13" s="72" t="s">
        <v>60</v>
      </c>
      <c r="I13" s="72">
        <v>2</v>
      </c>
      <c r="J13" s="72"/>
      <c r="K13" s="72"/>
      <c r="L13" s="72"/>
      <c r="M13" s="72"/>
      <c r="N13" s="72"/>
      <c r="O13" s="7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X13" s="16"/>
      <c r="BY13" s="33"/>
      <c r="BZ13" s="33"/>
      <c r="CA13" s="33"/>
      <c r="CB13" s="33"/>
      <c r="CC13" s="33"/>
      <c r="CD13" s="33"/>
      <c r="CE13" s="33"/>
      <c r="CF13" s="33"/>
      <c r="CG13" s="17"/>
    </row>
    <row r="14" spans="2:85" ht="15.75" customHeight="1">
      <c r="B14" s="74"/>
      <c r="C14" s="72"/>
      <c r="D14" s="79"/>
      <c r="E14" s="79"/>
      <c r="F14" s="75"/>
      <c r="G14" s="77"/>
      <c r="H14" s="72"/>
      <c r="I14" s="72"/>
      <c r="J14" s="72"/>
      <c r="K14" s="72"/>
      <c r="L14" s="72"/>
      <c r="M14" s="72"/>
      <c r="N14" s="72"/>
      <c r="O14" s="7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X14" s="16"/>
      <c r="BY14" s="33"/>
      <c r="BZ14" s="33"/>
      <c r="CA14" s="33"/>
      <c r="CB14" s="33"/>
      <c r="CC14" s="33"/>
      <c r="CD14" s="33"/>
      <c r="CE14" s="33"/>
      <c r="CF14" s="33"/>
      <c r="CG14" s="17"/>
    </row>
    <row r="15" spans="2:85" ht="18.75" customHeight="1">
      <c r="B15" s="73">
        <v>7</v>
      </c>
      <c r="C15" s="72" t="s">
        <v>57</v>
      </c>
      <c r="D15" s="72">
        <v>202</v>
      </c>
      <c r="E15" s="72">
        <v>270</v>
      </c>
      <c r="F15" s="72">
        <v>4.2</v>
      </c>
      <c r="G15" s="72">
        <v>-13</v>
      </c>
      <c r="H15" s="72" t="s">
        <v>61</v>
      </c>
      <c r="I15" s="72">
        <v>2</v>
      </c>
      <c r="J15" s="72"/>
      <c r="K15" s="72"/>
      <c r="L15" s="72"/>
      <c r="M15" s="72"/>
      <c r="N15" s="72"/>
      <c r="O15" s="7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X15" s="16"/>
      <c r="BY15" s="33"/>
      <c r="BZ15" s="33"/>
      <c r="CA15" s="33"/>
      <c r="CB15" s="33"/>
      <c r="CC15" s="33"/>
      <c r="CD15" s="33"/>
      <c r="CE15" s="33"/>
      <c r="CF15" s="33"/>
      <c r="CG15" s="17"/>
    </row>
    <row r="16" spans="2:85" ht="15.75" customHeight="1">
      <c r="B16" s="74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X16" s="16"/>
      <c r="BY16" s="33"/>
      <c r="BZ16" s="33"/>
      <c r="CA16" s="33"/>
      <c r="CB16" s="33"/>
      <c r="CC16" s="33"/>
      <c r="CD16" s="33"/>
      <c r="CE16" s="33"/>
      <c r="CF16" s="33"/>
      <c r="CG16" s="17"/>
    </row>
    <row r="17" spans="2:85" ht="18.75" customHeight="1">
      <c r="B17" s="73">
        <v>8</v>
      </c>
      <c r="C17" s="72" t="s">
        <v>57</v>
      </c>
      <c r="D17" s="72">
        <v>196</v>
      </c>
      <c r="E17" s="72">
        <v>278</v>
      </c>
      <c r="F17" s="72">
        <v>4.2</v>
      </c>
      <c r="G17" s="72">
        <v>-15</v>
      </c>
      <c r="H17" s="72" t="s">
        <v>59</v>
      </c>
      <c r="I17" s="72"/>
      <c r="J17" s="72"/>
      <c r="K17" s="72"/>
      <c r="L17" s="72"/>
      <c r="M17" s="72"/>
      <c r="N17" s="78"/>
      <c r="O17" s="78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X17" s="16"/>
      <c r="BY17" s="33"/>
      <c r="BZ17" s="33"/>
      <c r="CA17" s="33"/>
      <c r="CB17" s="33"/>
      <c r="CC17" s="33"/>
      <c r="CD17" s="33"/>
      <c r="CE17" s="33"/>
      <c r="CF17" s="33"/>
      <c r="CG17" s="17"/>
    </row>
    <row r="18" spans="2:85" ht="15.75" customHeight="1">
      <c r="B18" s="74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8"/>
      <c r="O18" s="78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X18" s="16"/>
      <c r="BY18" s="33"/>
      <c r="BZ18" s="33"/>
      <c r="CA18" s="33"/>
      <c r="CB18" s="33"/>
      <c r="CC18" s="33"/>
      <c r="CD18" s="33"/>
      <c r="CE18" s="33"/>
      <c r="CF18" s="33"/>
      <c r="CG18" s="17"/>
    </row>
    <row r="19" spans="2:85" ht="18.75" customHeight="1">
      <c r="B19" s="73">
        <v>9</v>
      </c>
      <c r="C19" s="72" t="s">
        <v>57</v>
      </c>
      <c r="D19" s="72">
        <v>164</v>
      </c>
      <c r="E19" s="72">
        <v>322</v>
      </c>
      <c r="F19" s="72">
        <v>5.2</v>
      </c>
      <c r="G19" s="72">
        <v>-19</v>
      </c>
      <c r="H19" s="72" t="s">
        <v>65</v>
      </c>
      <c r="I19" s="72">
        <v>2</v>
      </c>
      <c r="J19" s="72"/>
      <c r="K19" s="72"/>
      <c r="L19" s="72"/>
      <c r="M19" s="72"/>
      <c r="N19" s="72"/>
      <c r="O19" s="7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X19" s="16"/>
      <c r="BY19" s="33"/>
      <c r="BZ19" s="33"/>
      <c r="CA19" s="33"/>
      <c r="CB19" s="33"/>
      <c r="CC19" s="33"/>
      <c r="CD19" s="33"/>
      <c r="CE19" s="33"/>
      <c r="CF19" s="33"/>
      <c r="CG19" s="17"/>
    </row>
    <row r="20" spans="2:85" ht="15.75" customHeight="1">
      <c r="B20" s="74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X20" s="16"/>
      <c r="BY20" s="33"/>
      <c r="BZ20" s="33"/>
      <c r="CA20" s="33"/>
      <c r="CB20" s="33"/>
      <c r="CC20" s="33"/>
      <c r="CD20" s="33"/>
      <c r="CE20" s="33"/>
      <c r="CF20" s="33"/>
      <c r="CG20" s="17"/>
    </row>
    <row r="21" spans="2:85" ht="18.75" customHeight="1">
      <c r="B21" s="73">
        <v>10</v>
      </c>
      <c r="C21" s="72" t="s">
        <v>57</v>
      </c>
      <c r="D21" s="72">
        <v>185</v>
      </c>
      <c r="E21" s="72">
        <v>309</v>
      </c>
      <c r="F21" s="72">
        <v>5</v>
      </c>
      <c r="G21" s="72">
        <v>-17</v>
      </c>
      <c r="H21" s="72" t="s">
        <v>66</v>
      </c>
      <c r="I21" s="72">
        <v>1</v>
      </c>
      <c r="J21" s="72"/>
      <c r="K21" s="72"/>
      <c r="L21" s="72"/>
      <c r="M21" s="72"/>
      <c r="N21" s="72"/>
      <c r="O21" s="72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X21" s="16"/>
      <c r="BY21" s="33"/>
      <c r="BZ21" s="33"/>
      <c r="CA21" s="33"/>
      <c r="CB21" s="33"/>
      <c r="CC21" s="33"/>
      <c r="CD21" s="33"/>
      <c r="CE21" s="33"/>
      <c r="CF21" s="33"/>
      <c r="CG21" s="17"/>
    </row>
    <row r="22" spans="2:85" ht="15.75" customHeight="1" thickBot="1">
      <c r="B22" s="74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54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X22" s="16"/>
      <c r="BY22" s="33"/>
      <c r="BZ22" s="33"/>
      <c r="CA22" s="33"/>
      <c r="CB22" s="69"/>
      <c r="CC22" s="33"/>
      <c r="CD22" s="33"/>
      <c r="CE22" s="33"/>
      <c r="CF22" s="33"/>
      <c r="CG22" s="17"/>
    </row>
    <row r="23" spans="2:85" ht="18.75" customHeight="1">
      <c r="B23" s="73">
        <v>11</v>
      </c>
      <c r="C23" s="72" t="s">
        <v>58</v>
      </c>
      <c r="D23" s="72">
        <v>175</v>
      </c>
      <c r="E23" s="72">
        <v>317</v>
      </c>
      <c r="F23" s="72">
        <v>5</v>
      </c>
      <c r="G23" s="72">
        <v>-20</v>
      </c>
      <c r="H23" s="76" t="s">
        <v>67</v>
      </c>
      <c r="I23" s="72">
        <v>4</v>
      </c>
      <c r="J23" s="72"/>
      <c r="K23" s="72"/>
      <c r="L23" s="72"/>
      <c r="M23" s="72"/>
      <c r="N23" s="72"/>
      <c r="O23" s="72"/>
      <c r="P23" s="54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</row>
    <row r="24" spans="2:85" ht="39.75" customHeight="1">
      <c r="B24" s="74"/>
      <c r="C24" s="72"/>
      <c r="D24" s="72"/>
      <c r="E24" s="72"/>
      <c r="F24" s="72"/>
      <c r="G24" s="72"/>
      <c r="H24" s="77"/>
      <c r="I24" s="72"/>
      <c r="J24" s="72"/>
      <c r="K24" s="72"/>
      <c r="L24" s="72"/>
      <c r="M24" s="72"/>
      <c r="N24" s="72"/>
      <c r="O24" s="72"/>
      <c r="P24" s="54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X24" s="33"/>
      <c r="BY24" s="33"/>
      <c r="BZ24" s="33"/>
      <c r="CA24" s="33"/>
      <c r="CB24" s="33"/>
    </row>
    <row r="25" spans="2:85" ht="18.75" customHeight="1">
      <c r="B25" s="73">
        <v>12</v>
      </c>
      <c r="C25" s="72" t="s">
        <v>57</v>
      </c>
      <c r="D25" s="72">
        <v>163</v>
      </c>
      <c r="E25" s="72">
        <v>292</v>
      </c>
      <c r="F25" s="72">
        <v>5.2</v>
      </c>
      <c r="G25" s="72">
        <v>-19</v>
      </c>
      <c r="H25" s="70" t="s">
        <v>68</v>
      </c>
      <c r="I25" s="70">
        <v>1</v>
      </c>
      <c r="J25" s="70"/>
      <c r="K25" s="70"/>
      <c r="L25" s="70"/>
      <c r="M25" s="70"/>
      <c r="N25" s="70"/>
      <c r="O25" s="70"/>
      <c r="P25" s="54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</row>
    <row r="26" spans="2:85" ht="40.5" customHeight="1">
      <c r="B26" s="74"/>
      <c r="C26" s="72"/>
      <c r="D26" s="72"/>
      <c r="E26" s="72"/>
      <c r="F26" s="72"/>
      <c r="G26" s="72"/>
      <c r="H26" s="42"/>
      <c r="I26" s="42"/>
      <c r="J26" s="42"/>
      <c r="K26" s="42"/>
      <c r="L26" s="42"/>
      <c r="M26" s="42"/>
      <c r="N26" s="42"/>
      <c r="O26" s="42"/>
      <c r="P26" s="54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</row>
    <row r="27" spans="2:85" ht="26.25" customHeight="1">
      <c r="B27" s="73">
        <v>13</v>
      </c>
      <c r="C27" s="72" t="s">
        <v>57</v>
      </c>
      <c r="D27" s="72">
        <v>175</v>
      </c>
      <c r="E27" s="72">
        <v>544</v>
      </c>
      <c r="F27" s="72">
        <v>5.0999999999999996</v>
      </c>
      <c r="G27" s="72">
        <v>-18</v>
      </c>
      <c r="H27" s="72" t="s">
        <v>69</v>
      </c>
      <c r="I27" s="72">
        <v>2</v>
      </c>
      <c r="J27" s="72"/>
      <c r="K27" s="72"/>
      <c r="L27" s="72"/>
      <c r="M27" s="72"/>
      <c r="N27" s="72"/>
      <c r="O27" s="72"/>
      <c r="P27" s="54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</row>
    <row r="28" spans="2:85" ht="15.75" customHeight="1">
      <c r="B28" s="74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54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X28" s="33"/>
      <c r="BY28" s="33"/>
      <c r="BZ28" s="33"/>
      <c r="CA28" s="33"/>
      <c r="CB28" s="33"/>
    </row>
    <row r="29" spans="2:85" ht="18.75" customHeight="1">
      <c r="B29" s="73">
        <v>14</v>
      </c>
      <c r="C29" s="72" t="s">
        <v>57</v>
      </c>
      <c r="D29" s="72">
        <v>180</v>
      </c>
      <c r="E29" s="72">
        <v>526</v>
      </c>
      <c r="F29" s="72">
        <v>4.9000000000000004</v>
      </c>
      <c r="G29" s="72">
        <v>-18</v>
      </c>
      <c r="H29" s="72" t="s">
        <v>70</v>
      </c>
      <c r="I29" s="72">
        <v>2</v>
      </c>
      <c r="J29" s="72"/>
      <c r="K29" s="72"/>
      <c r="L29" s="72"/>
      <c r="M29" s="72"/>
      <c r="N29" s="72"/>
      <c r="O29" s="72"/>
      <c r="P29" s="54"/>
      <c r="BX29" s="33"/>
      <c r="BY29" s="33"/>
      <c r="BZ29" s="33"/>
      <c r="CA29" s="33"/>
      <c r="CB29" s="33"/>
    </row>
    <row r="30" spans="2:85" ht="15.75" customHeight="1">
      <c r="B30" s="74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54"/>
      <c r="BW30" s="33"/>
      <c r="BX30" s="33"/>
      <c r="BY30" s="33"/>
      <c r="BZ30" s="33"/>
      <c r="CA30" s="33"/>
      <c r="CB30" s="33"/>
    </row>
    <row r="31" spans="2:85" ht="15" customHeight="1">
      <c r="B31" s="73">
        <v>15</v>
      </c>
      <c r="C31" s="72" t="s">
        <v>58</v>
      </c>
      <c r="D31" s="72">
        <v>191</v>
      </c>
      <c r="E31" s="72">
        <v>495</v>
      </c>
      <c r="F31" s="75">
        <v>5.2</v>
      </c>
      <c r="G31" s="72">
        <v>-18</v>
      </c>
      <c r="H31" s="72" t="s">
        <v>71</v>
      </c>
      <c r="I31" s="72">
        <v>6</v>
      </c>
      <c r="J31" s="72"/>
      <c r="K31" s="72"/>
      <c r="L31" s="72"/>
      <c r="M31" s="72"/>
      <c r="N31" s="72"/>
      <c r="O31" s="72"/>
      <c r="P31" s="54"/>
      <c r="BW31" s="33"/>
      <c r="BX31" s="33"/>
      <c r="BY31" s="33"/>
      <c r="BZ31" s="33"/>
      <c r="CA31" s="33"/>
      <c r="CB31" s="33"/>
    </row>
    <row r="32" spans="2:85" ht="15" customHeight="1">
      <c r="B32" s="74"/>
      <c r="C32" s="72"/>
      <c r="D32" s="72"/>
      <c r="E32" s="72"/>
      <c r="F32" s="75"/>
      <c r="G32" s="72"/>
      <c r="H32" s="72"/>
      <c r="I32" s="72"/>
      <c r="J32" s="72"/>
      <c r="K32" s="72"/>
      <c r="L32" s="72"/>
      <c r="M32" s="72"/>
      <c r="N32" s="72"/>
      <c r="O32" s="72"/>
      <c r="P32" s="54"/>
      <c r="BW32" s="33"/>
      <c r="BX32" s="33"/>
      <c r="BY32" s="33"/>
      <c r="BZ32" s="33"/>
      <c r="CA32" s="33"/>
      <c r="CB32" s="33"/>
    </row>
    <row r="33" spans="2:80" ht="15" customHeight="1">
      <c r="B33" s="73">
        <v>16</v>
      </c>
      <c r="C33" s="72" t="s">
        <v>58</v>
      </c>
      <c r="D33" s="72">
        <v>191</v>
      </c>
      <c r="E33" s="72">
        <v>518</v>
      </c>
      <c r="F33" s="72">
        <v>5.0999999999999996</v>
      </c>
      <c r="G33" s="72">
        <v>-17</v>
      </c>
      <c r="H33" s="72" t="s">
        <v>72</v>
      </c>
      <c r="I33" s="72">
        <v>2</v>
      </c>
      <c r="J33" s="72"/>
      <c r="K33" s="72"/>
      <c r="L33" s="72"/>
      <c r="M33" s="72"/>
      <c r="N33" s="72"/>
      <c r="O33" s="72"/>
      <c r="P33" s="54"/>
      <c r="BW33" s="33"/>
      <c r="BX33" s="33"/>
      <c r="BY33" s="33"/>
      <c r="BZ33" s="33"/>
      <c r="CA33" s="33"/>
      <c r="CB33" s="33"/>
    </row>
    <row r="34" spans="2:80" ht="15" customHeight="1">
      <c r="B34" s="74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54"/>
      <c r="BW34" s="33"/>
      <c r="BX34" s="33"/>
      <c r="BY34" s="33"/>
      <c r="BZ34" s="33"/>
      <c r="CA34" s="33"/>
      <c r="CB34" s="33"/>
    </row>
    <row r="35" spans="2:80" ht="15" customHeight="1">
      <c r="B35" s="73">
        <v>17</v>
      </c>
      <c r="C35" s="72" t="s">
        <v>57</v>
      </c>
      <c r="D35" s="72">
        <v>195</v>
      </c>
      <c r="E35" s="72">
        <v>794</v>
      </c>
      <c r="F35" s="72">
        <v>5.3</v>
      </c>
      <c r="G35" s="72">
        <v>-15</v>
      </c>
      <c r="H35" s="72" t="s">
        <v>73</v>
      </c>
      <c r="I35" s="72"/>
      <c r="J35" s="72"/>
      <c r="K35" s="72"/>
      <c r="L35" s="72"/>
      <c r="M35" s="72"/>
      <c r="N35" s="72"/>
      <c r="O35" s="72"/>
      <c r="P35" s="54"/>
      <c r="BW35" s="33"/>
      <c r="BX35" s="33"/>
      <c r="BY35" s="33"/>
      <c r="BZ35" s="33"/>
      <c r="CA35" s="33"/>
      <c r="CB35" s="33"/>
    </row>
    <row r="36" spans="2:80" ht="15" customHeight="1">
      <c r="B36" s="74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54"/>
      <c r="BW36" s="33"/>
      <c r="BX36" s="33"/>
      <c r="BY36" s="33"/>
      <c r="BZ36" s="33"/>
      <c r="CA36" s="33"/>
      <c r="CB36" s="33"/>
    </row>
    <row r="37" spans="2:80" ht="30" customHeight="1">
      <c r="B37" s="73">
        <v>18</v>
      </c>
      <c r="C37" s="72" t="s">
        <v>57</v>
      </c>
      <c r="D37" s="72">
        <v>188</v>
      </c>
      <c r="E37" s="72">
        <v>833</v>
      </c>
      <c r="F37" s="72">
        <v>5.0999999999999996</v>
      </c>
      <c r="G37" s="72">
        <v>-17</v>
      </c>
      <c r="H37" s="72" t="s">
        <v>74</v>
      </c>
      <c r="I37" s="72"/>
      <c r="J37" s="72"/>
      <c r="K37" s="72"/>
      <c r="L37" s="72"/>
      <c r="M37" s="72"/>
      <c r="N37" s="72"/>
      <c r="O37" s="72"/>
      <c r="P37" s="54"/>
      <c r="BW37" s="33"/>
      <c r="BX37" s="33"/>
      <c r="BY37" s="33"/>
      <c r="BZ37" s="33"/>
      <c r="CA37" s="33"/>
      <c r="CB37" s="33"/>
    </row>
    <row r="38" spans="2:80" ht="15" customHeight="1">
      <c r="B38" s="74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54"/>
      <c r="BW38" s="33"/>
      <c r="BX38" s="33"/>
      <c r="BY38" s="33"/>
      <c r="BZ38" s="33"/>
      <c r="CA38" s="33"/>
      <c r="CB38" s="33"/>
    </row>
    <row r="39" spans="2:80" ht="15" customHeight="1">
      <c r="B39" s="73">
        <v>19</v>
      </c>
      <c r="C39" s="72" t="s">
        <v>57</v>
      </c>
      <c r="D39" s="72">
        <v>167</v>
      </c>
      <c r="E39" s="72">
        <v>344</v>
      </c>
      <c r="F39" s="72">
        <v>5.2</v>
      </c>
      <c r="G39" s="72">
        <v>-18</v>
      </c>
      <c r="H39" s="72" t="s">
        <v>75</v>
      </c>
      <c r="I39" s="72"/>
      <c r="J39" s="72"/>
      <c r="K39" s="72"/>
      <c r="L39" s="72"/>
      <c r="M39" s="72"/>
      <c r="N39" s="72"/>
      <c r="O39" s="72"/>
      <c r="P39" s="54"/>
      <c r="BW39" s="33"/>
      <c r="BX39" s="33"/>
      <c r="BY39" s="33"/>
      <c r="BZ39" s="33"/>
      <c r="CA39" s="33"/>
      <c r="CB39" s="33"/>
    </row>
    <row r="40" spans="2:80" ht="15" customHeight="1">
      <c r="B40" s="74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54"/>
      <c r="BW40" s="33"/>
      <c r="BX40" s="33"/>
      <c r="BY40" s="33"/>
      <c r="BZ40" s="33"/>
      <c r="CA40" s="33"/>
      <c r="CB40" s="33"/>
    </row>
    <row r="41" spans="2:80" ht="15" customHeight="1">
      <c r="B41" s="73">
        <v>20</v>
      </c>
      <c r="C41" s="72" t="s">
        <v>58</v>
      </c>
      <c r="D41" s="72">
        <v>195</v>
      </c>
      <c r="E41" s="72">
        <v>378</v>
      </c>
      <c r="F41" s="72">
        <v>5.0999999999999996</v>
      </c>
      <c r="G41" s="72">
        <v>-16</v>
      </c>
      <c r="H41" s="72" t="s">
        <v>76</v>
      </c>
      <c r="I41" s="72"/>
      <c r="J41" s="72"/>
      <c r="K41" s="72"/>
      <c r="L41" s="72"/>
      <c r="M41" s="72"/>
      <c r="N41" s="72"/>
      <c r="O41" s="72"/>
      <c r="P41" s="54"/>
      <c r="BW41" s="33"/>
      <c r="BX41" s="33"/>
      <c r="BY41" s="33"/>
      <c r="BZ41" s="33"/>
      <c r="CA41" s="33"/>
      <c r="CB41" s="33"/>
    </row>
    <row r="42" spans="2:80" ht="15" customHeight="1">
      <c r="B42" s="74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54"/>
      <c r="BW42" s="33"/>
      <c r="BX42" s="33"/>
      <c r="BY42" s="33"/>
      <c r="BZ42" s="33"/>
      <c r="CA42" s="33"/>
      <c r="CB42" s="33"/>
    </row>
    <row r="43" spans="2:80" ht="15" customHeight="1">
      <c r="B43" s="73">
        <v>21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54"/>
      <c r="BW43" s="33"/>
      <c r="BX43" s="33"/>
      <c r="BY43" s="33"/>
      <c r="BZ43" s="33"/>
      <c r="CA43" s="33"/>
      <c r="CB43" s="33"/>
    </row>
    <row r="44" spans="2:80" ht="15" customHeight="1">
      <c r="B44" s="74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54"/>
      <c r="BW44" s="33"/>
      <c r="BX44" s="33"/>
      <c r="BY44" s="33"/>
      <c r="BZ44" s="33"/>
      <c r="CA44" s="33"/>
      <c r="CB44" s="33"/>
    </row>
    <row r="45" spans="2:80" ht="15" customHeight="1">
      <c r="B45" s="73">
        <v>22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54"/>
      <c r="BW45" s="33"/>
      <c r="BX45" s="33"/>
      <c r="BY45" s="33"/>
      <c r="BZ45" s="33"/>
      <c r="CA45" s="33"/>
      <c r="CB45" s="33"/>
    </row>
    <row r="46" spans="2:80" ht="15" customHeight="1">
      <c r="B46" s="74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54"/>
      <c r="BW46" s="33"/>
      <c r="BX46" s="33"/>
      <c r="BY46" s="33"/>
      <c r="BZ46" s="33"/>
      <c r="CA46" s="33"/>
      <c r="CB46" s="33"/>
    </row>
    <row r="47" spans="2:80" ht="15" customHeight="1">
      <c r="B47" s="73">
        <v>23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54"/>
      <c r="BW47" s="33"/>
      <c r="BX47" s="33"/>
      <c r="BY47" s="33"/>
      <c r="BZ47" s="33"/>
      <c r="CA47" s="33"/>
      <c r="CB47" s="33"/>
    </row>
    <row r="48" spans="2:80" ht="15" customHeight="1">
      <c r="B48" s="74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54"/>
      <c r="BW48" s="33"/>
      <c r="BX48" s="33"/>
      <c r="BY48" s="33"/>
      <c r="BZ48" s="33"/>
      <c r="CA48" s="33"/>
      <c r="CB48" s="33"/>
    </row>
    <row r="49" spans="9:80">
      <c r="I49" s="33">
        <f>SUM(I5:I48)</f>
        <v>28</v>
      </c>
      <c r="P49" s="54"/>
      <c r="BW49" s="33"/>
      <c r="BX49" s="33"/>
      <c r="BY49" s="33"/>
      <c r="BZ49" s="33"/>
      <c r="CA49" s="33"/>
      <c r="CB49" s="33"/>
    </row>
    <row r="50" spans="9:80">
      <c r="I50" s="33"/>
      <c r="P50" s="54"/>
      <c r="BW50" s="33"/>
      <c r="BX50" s="33"/>
      <c r="BY50" s="33"/>
      <c r="BZ50" s="33"/>
      <c r="CA50" s="33"/>
      <c r="CB50" s="33"/>
    </row>
    <row r="51" spans="9:80">
      <c r="I51" s="33"/>
      <c r="P51" s="54"/>
      <c r="BW51" s="33"/>
      <c r="BX51" s="33"/>
      <c r="BY51" s="33"/>
      <c r="BZ51" s="33"/>
      <c r="CA51" s="33"/>
      <c r="CB51" s="33"/>
    </row>
    <row r="52" spans="9:80">
      <c r="I52" s="33"/>
      <c r="P52" s="54"/>
      <c r="BW52" s="33"/>
      <c r="BX52" s="33"/>
      <c r="BY52" s="33"/>
      <c r="BZ52" s="33"/>
      <c r="CA52" s="33"/>
      <c r="CB52" s="33"/>
    </row>
    <row r="53" spans="9:80">
      <c r="I53" s="33"/>
      <c r="P53" s="54"/>
      <c r="BW53" s="33"/>
      <c r="BX53" s="33"/>
      <c r="BY53" s="33"/>
      <c r="BZ53" s="33"/>
      <c r="CA53" s="33"/>
      <c r="CB53" s="33"/>
    </row>
    <row r="54" spans="9:80">
      <c r="I54" s="33"/>
      <c r="P54" s="54"/>
      <c r="BW54" s="33"/>
      <c r="BX54" s="33"/>
      <c r="BY54" s="33"/>
      <c r="BZ54" s="33"/>
      <c r="CA54" s="33"/>
      <c r="CB54" s="33"/>
    </row>
    <row r="55" spans="9:80">
      <c r="I55" s="33"/>
      <c r="P55" s="54"/>
      <c r="BW55" s="33"/>
      <c r="BX55" s="33"/>
      <c r="BY55" s="33"/>
      <c r="BZ55" s="33"/>
      <c r="CA55" s="33"/>
      <c r="CB55" s="33"/>
    </row>
    <row r="56" spans="9:80">
      <c r="I56" s="33"/>
      <c r="P56" s="54"/>
      <c r="BW56" s="33"/>
      <c r="BX56" s="33"/>
      <c r="BY56" s="33"/>
      <c r="BZ56" s="33"/>
      <c r="CA56" s="33"/>
      <c r="CB56" s="33"/>
    </row>
    <row r="57" spans="9:80">
      <c r="I57" s="33"/>
      <c r="P57" s="54"/>
      <c r="BW57" s="33"/>
      <c r="BX57" s="33"/>
      <c r="BY57" s="33"/>
      <c r="BZ57" s="33"/>
      <c r="CA57" s="33"/>
      <c r="CB57" s="33"/>
    </row>
    <row r="58" spans="9:80">
      <c r="I58" s="33"/>
      <c r="P58" s="33"/>
      <c r="BW58" s="33"/>
      <c r="BX58" s="33"/>
      <c r="BY58" s="33"/>
      <c r="BZ58" s="33"/>
      <c r="CA58" s="33"/>
      <c r="CB58" s="33"/>
    </row>
    <row r="59" spans="9:80">
      <c r="I59" s="33"/>
      <c r="P59" s="33"/>
      <c r="BW59" s="33"/>
      <c r="BX59" s="33"/>
      <c r="BY59" s="33"/>
      <c r="BZ59" s="33"/>
      <c r="CA59" s="33"/>
      <c r="CB59" s="33"/>
    </row>
    <row r="60" spans="9:80">
      <c r="I60" s="33"/>
      <c r="P60" s="33"/>
      <c r="BW60" s="33"/>
      <c r="BX60" s="33"/>
      <c r="BY60" s="33"/>
      <c r="BZ60" s="33"/>
      <c r="CA60" s="33"/>
      <c r="CB60" s="33"/>
    </row>
    <row r="61" spans="9:80">
      <c r="I61" s="33"/>
      <c r="P61" s="33"/>
      <c r="BW61" s="33"/>
      <c r="BX61" s="33"/>
      <c r="BY61" s="33"/>
      <c r="BZ61" s="33"/>
      <c r="CA61" s="33"/>
      <c r="CB61" s="33"/>
    </row>
    <row r="62" spans="9:80">
      <c r="I62" s="33"/>
      <c r="P62" s="33"/>
      <c r="BW62" s="33"/>
      <c r="BX62" s="33"/>
      <c r="BY62" s="33"/>
      <c r="BZ62" s="33"/>
      <c r="CA62" s="33"/>
      <c r="CB62" s="33"/>
    </row>
    <row r="63" spans="9:80">
      <c r="I63" s="33"/>
      <c r="P63" s="33"/>
      <c r="BW63" s="33"/>
      <c r="BX63" s="33"/>
      <c r="BY63" s="33"/>
      <c r="BZ63" s="33"/>
      <c r="CA63" s="33"/>
      <c r="CB63" s="33"/>
    </row>
    <row r="64" spans="9:80">
      <c r="I64" s="33"/>
      <c r="P64" s="33"/>
      <c r="BW64" s="33"/>
      <c r="BX64" s="33"/>
      <c r="BY64" s="33"/>
      <c r="BZ64" s="33"/>
      <c r="CA64" s="33"/>
      <c r="CB64" s="33"/>
    </row>
    <row r="65" spans="9:80">
      <c r="I65" s="33"/>
      <c r="P65" s="33"/>
      <c r="BW65" s="33"/>
      <c r="BX65" s="33"/>
      <c r="BY65" s="33"/>
      <c r="BZ65" s="33"/>
      <c r="CA65" s="33"/>
      <c r="CB65" s="33"/>
    </row>
    <row r="66" spans="9:80">
      <c r="I66" s="33"/>
      <c r="P66" s="33"/>
      <c r="BW66" s="33"/>
      <c r="BX66" s="33"/>
      <c r="BY66" s="33"/>
      <c r="BZ66" s="33"/>
      <c r="CA66" s="33"/>
      <c r="CB66" s="33"/>
    </row>
    <row r="67" spans="9:80">
      <c r="I67" s="33"/>
      <c r="P67" s="33"/>
      <c r="BW67" s="33"/>
      <c r="BX67" s="33"/>
      <c r="BY67" s="33"/>
      <c r="BZ67" s="33"/>
      <c r="CA67" s="33"/>
      <c r="CB67" s="33"/>
    </row>
    <row r="68" spans="9:80">
      <c r="I68" s="33"/>
      <c r="P68" s="33"/>
      <c r="BW68" s="33"/>
      <c r="BX68" s="33"/>
      <c r="BY68" s="33"/>
      <c r="BZ68" s="33"/>
      <c r="CA68" s="33"/>
      <c r="CB68" s="33"/>
    </row>
    <row r="69" spans="9:80">
      <c r="I69" s="33"/>
      <c r="P69" s="33"/>
      <c r="BW69" s="33"/>
      <c r="BX69" s="33"/>
      <c r="BY69" s="33"/>
      <c r="BZ69" s="33"/>
      <c r="CA69" s="33"/>
      <c r="CB69" s="33"/>
    </row>
    <row r="70" spans="9:80" ht="15" customHeight="1">
      <c r="I70" s="33"/>
      <c r="BW70" s="33"/>
      <c r="BX70" s="33"/>
      <c r="BY70" s="33"/>
      <c r="BZ70" s="33"/>
      <c r="CA70" s="33"/>
      <c r="CB70" s="33"/>
    </row>
    <row r="71" spans="9:80" ht="27" customHeight="1">
      <c r="I71" s="33"/>
      <c r="BW71" s="33"/>
      <c r="BX71" s="33"/>
      <c r="BY71" s="33"/>
      <c r="BZ71" s="33"/>
      <c r="CA71" s="33"/>
      <c r="CB71" s="33"/>
    </row>
    <row r="72" spans="9:80">
      <c r="I72" s="33"/>
      <c r="BW72" s="33"/>
      <c r="BX72" s="33"/>
      <c r="BY72" s="33"/>
      <c r="BZ72" s="33"/>
      <c r="CA72" s="33"/>
      <c r="CB72" s="33"/>
    </row>
    <row r="73" spans="9:80">
      <c r="I73" s="33"/>
      <c r="BW73" s="33"/>
      <c r="BX73" s="33"/>
      <c r="BY73" s="33"/>
      <c r="BZ73" s="33"/>
      <c r="CA73" s="33"/>
      <c r="CB73" s="33"/>
    </row>
    <row r="74" spans="9:80" ht="27" customHeight="1">
      <c r="I74" s="33"/>
      <c r="BW74" s="33"/>
      <c r="BX74" s="33"/>
      <c r="BY74" s="33"/>
      <c r="BZ74" s="33"/>
      <c r="CA74" s="33"/>
      <c r="CB74" s="33"/>
    </row>
    <row r="75" spans="9:80">
      <c r="I75" s="33"/>
      <c r="BW75" s="33"/>
      <c r="BX75" s="33"/>
      <c r="BY75" s="33"/>
      <c r="BZ75" s="33"/>
      <c r="CA75" s="33"/>
      <c r="CB75" s="33"/>
    </row>
    <row r="76" spans="9:80">
      <c r="I76" s="33"/>
      <c r="BW76" s="33"/>
      <c r="BX76" s="33"/>
      <c r="BY76" s="33"/>
      <c r="BZ76" s="33"/>
      <c r="CA76" s="33"/>
      <c r="CB76" s="33"/>
    </row>
    <row r="77" spans="9:80">
      <c r="I77" s="33"/>
      <c r="BW77" s="33"/>
    </row>
    <row r="78" spans="9:80">
      <c r="I78" s="33"/>
      <c r="BW78" s="33"/>
    </row>
    <row r="79" spans="9:80">
      <c r="I79" s="33"/>
    </row>
    <row r="80" spans="9:80">
      <c r="I80" s="33"/>
    </row>
    <row r="81" spans="9:29">
      <c r="I81" s="33"/>
    </row>
    <row r="82" spans="9:29">
      <c r="I82" s="33"/>
    </row>
    <row r="83" spans="9:29">
      <c r="I83" s="33"/>
    </row>
    <row r="84" spans="9:29">
      <c r="I84" s="33"/>
    </row>
    <row r="85" spans="9:29">
      <c r="I85" s="33"/>
    </row>
    <row r="86" spans="9:29" ht="15.75" thickBot="1">
      <c r="I86" s="33"/>
      <c r="Q86" s="18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</row>
    <row r="87" spans="9:29">
      <c r="I87" s="33"/>
    </row>
    <row r="88" spans="9:29">
      <c r="I88" s="33"/>
    </row>
    <row r="89" spans="9:29">
      <c r="I89" s="33"/>
    </row>
    <row r="90" spans="9:29">
      <c r="I90" s="33"/>
    </row>
    <row r="91" spans="9:29">
      <c r="I91" s="33"/>
    </row>
    <row r="92" spans="9:29">
      <c r="I92" s="33"/>
    </row>
    <row r="93" spans="9:29">
      <c r="I93" s="33"/>
    </row>
    <row r="94" spans="9:29">
      <c r="I94" s="33"/>
    </row>
    <row r="95" spans="9:29">
      <c r="I95" s="33"/>
    </row>
    <row r="96" spans="9:29">
      <c r="I96" s="33"/>
    </row>
    <row r="97" spans="9:9">
      <c r="I97" s="33"/>
    </row>
    <row r="98" spans="9:9">
      <c r="I98" s="33"/>
    </row>
    <row r="99" spans="9:9">
      <c r="I99" s="33"/>
    </row>
    <row r="100" spans="9:9">
      <c r="I100" s="33"/>
    </row>
    <row r="101" spans="9:9">
      <c r="I101" s="33"/>
    </row>
    <row r="102" spans="9:9">
      <c r="I102" s="33"/>
    </row>
    <row r="103" spans="9:9">
      <c r="I103" s="33"/>
    </row>
    <row r="104" spans="9:9" ht="15" customHeight="1">
      <c r="I104" s="33"/>
    </row>
    <row r="105" spans="9:9" ht="23.25" customHeight="1">
      <c r="I105" s="33"/>
    </row>
    <row r="106" spans="9:9">
      <c r="I106" s="33"/>
    </row>
    <row r="107" spans="9:9">
      <c r="I107" s="33"/>
    </row>
    <row r="108" spans="9:9">
      <c r="I108" s="33"/>
    </row>
    <row r="109" spans="9:9">
      <c r="I109" s="33"/>
    </row>
    <row r="110" spans="9:9">
      <c r="I110" s="33"/>
    </row>
    <row r="111" spans="9:9">
      <c r="I111" s="33"/>
    </row>
    <row r="112" spans="9:9">
      <c r="I112" s="33"/>
    </row>
    <row r="113" spans="9:9">
      <c r="I113" s="33"/>
    </row>
    <row r="114" spans="9:9">
      <c r="I114" s="33"/>
    </row>
    <row r="115" spans="9:9">
      <c r="I115" s="33"/>
    </row>
    <row r="116" spans="9:9">
      <c r="I116" s="33"/>
    </row>
    <row r="117" spans="9:9">
      <c r="I117" s="33"/>
    </row>
    <row r="118" spans="9:9">
      <c r="I118" s="33"/>
    </row>
    <row r="119" spans="9:9">
      <c r="I119" s="33"/>
    </row>
    <row r="120" spans="9:9">
      <c r="I120" s="33"/>
    </row>
    <row r="121" spans="9:9">
      <c r="I121" s="33"/>
    </row>
    <row r="122" spans="9:9">
      <c r="I122" s="33"/>
    </row>
    <row r="123" spans="9:9">
      <c r="I123" s="33"/>
    </row>
    <row r="124" spans="9:9">
      <c r="I124" s="33"/>
    </row>
    <row r="125" spans="9:9">
      <c r="I125" s="33"/>
    </row>
    <row r="126" spans="9:9">
      <c r="I126" s="33"/>
    </row>
    <row r="127" spans="9:9">
      <c r="I127" s="33"/>
    </row>
    <row r="128" spans="9:9">
      <c r="I128" s="33"/>
    </row>
    <row r="129" spans="9:9">
      <c r="I129" s="33"/>
    </row>
    <row r="130" spans="9:9">
      <c r="I130" s="33"/>
    </row>
    <row r="131" spans="9:9">
      <c r="I131" s="33"/>
    </row>
    <row r="132" spans="9:9">
      <c r="I132" s="33"/>
    </row>
    <row r="133" spans="9:9">
      <c r="I133" s="33"/>
    </row>
    <row r="134" spans="9:9">
      <c r="I134" s="33"/>
    </row>
    <row r="135" spans="9:9">
      <c r="I135" s="33"/>
    </row>
    <row r="136" spans="9:9">
      <c r="I136" s="33"/>
    </row>
    <row r="137" spans="9:9">
      <c r="I137" s="33"/>
    </row>
    <row r="138" spans="9:9" ht="15" customHeight="1">
      <c r="I138" s="33"/>
    </row>
    <row r="139" spans="9:9">
      <c r="I139" s="33"/>
    </row>
    <row r="140" spans="9:9">
      <c r="I140" s="33"/>
    </row>
  </sheetData>
  <mergeCells count="298">
    <mergeCell ref="N3:O3"/>
    <mergeCell ref="CB3:CC3"/>
    <mergeCell ref="J7:J8"/>
    <mergeCell ref="K7:K8"/>
    <mergeCell ref="L7:L8"/>
    <mergeCell ref="M7:M8"/>
    <mergeCell ref="N7:N8"/>
    <mergeCell ref="O7:O8"/>
    <mergeCell ref="CD3:CE3"/>
    <mergeCell ref="CF3:CG3"/>
    <mergeCell ref="B7:B8"/>
    <mergeCell ref="C7:C8"/>
    <mergeCell ref="D7:D8"/>
    <mergeCell ref="E7:E8"/>
    <mergeCell ref="F7:F8"/>
    <mergeCell ref="G7:G8"/>
    <mergeCell ref="H7:H8"/>
    <mergeCell ref="I7:I8"/>
    <mergeCell ref="B2:B4"/>
    <mergeCell ref="C2:G2"/>
    <mergeCell ref="H2:H4"/>
    <mergeCell ref="I2:I4"/>
    <mergeCell ref="J2:O2"/>
    <mergeCell ref="BX2:CG2"/>
    <mergeCell ref="J3:K3"/>
    <mergeCell ref="L3:M3"/>
    <mergeCell ref="O11:O12"/>
    <mergeCell ref="N9:N10"/>
    <mergeCell ref="O9:O10"/>
    <mergeCell ref="B11:B12"/>
    <mergeCell ref="C11:C12"/>
    <mergeCell ref="D11:D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D13:D14"/>
    <mergeCell ref="E13:E14"/>
    <mergeCell ref="F13:F14"/>
    <mergeCell ref="G13:G14"/>
    <mergeCell ref="J11:J12"/>
    <mergeCell ref="K11:K12"/>
    <mergeCell ref="L11:L12"/>
    <mergeCell ref="M11:M12"/>
    <mergeCell ref="N11:N12"/>
    <mergeCell ref="J15:J16"/>
    <mergeCell ref="K15:K16"/>
    <mergeCell ref="L15:L16"/>
    <mergeCell ref="M15:M16"/>
    <mergeCell ref="N15:N16"/>
    <mergeCell ref="O15:O16"/>
    <mergeCell ref="N13:N14"/>
    <mergeCell ref="O13:O14"/>
    <mergeCell ref="B15:B16"/>
    <mergeCell ref="C15:C16"/>
    <mergeCell ref="D15:D16"/>
    <mergeCell ref="E15:E16"/>
    <mergeCell ref="F15:F16"/>
    <mergeCell ref="G15:G16"/>
    <mergeCell ref="H15:H16"/>
    <mergeCell ref="I15:I16"/>
    <mergeCell ref="H13:H14"/>
    <mergeCell ref="I13:I14"/>
    <mergeCell ref="J13:J14"/>
    <mergeCell ref="K13:K14"/>
    <mergeCell ref="L13:L14"/>
    <mergeCell ref="M13:M14"/>
    <mergeCell ref="B13:B14"/>
    <mergeCell ref="C13:C14"/>
    <mergeCell ref="O19:O20"/>
    <mergeCell ref="N17:N18"/>
    <mergeCell ref="O17:O18"/>
    <mergeCell ref="B19:B20"/>
    <mergeCell ref="C19:C20"/>
    <mergeCell ref="D19:D20"/>
    <mergeCell ref="E19:E20"/>
    <mergeCell ref="F19:F20"/>
    <mergeCell ref="G19:G20"/>
    <mergeCell ref="H19:H20"/>
    <mergeCell ref="I19:I20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D21:D22"/>
    <mergeCell ref="E21:E22"/>
    <mergeCell ref="F21:F22"/>
    <mergeCell ref="G21:G22"/>
    <mergeCell ref="J19:J20"/>
    <mergeCell ref="K19:K20"/>
    <mergeCell ref="L19:L20"/>
    <mergeCell ref="M19:M20"/>
    <mergeCell ref="N19:N20"/>
    <mergeCell ref="J23:J24"/>
    <mergeCell ref="K23:K24"/>
    <mergeCell ref="L23:L24"/>
    <mergeCell ref="M23:M24"/>
    <mergeCell ref="N23:N24"/>
    <mergeCell ref="O23:O24"/>
    <mergeCell ref="N21:N22"/>
    <mergeCell ref="O21:O22"/>
    <mergeCell ref="B23:B24"/>
    <mergeCell ref="C23:C24"/>
    <mergeCell ref="D23:D24"/>
    <mergeCell ref="E23:E24"/>
    <mergeCell ref="F23:F24"/>
    <mergeCell ref="G23:G24"/>
    <mergeCell ref="H23:H24"/>
    <mergeCell ref="I23:I24"/>
    <mergeCell ref="H21:H22"/>
    <mergeCell ref="I21:I22"/>
    <mergeCell ref="J21:J22"/>
    <mergeCell ref="K21:K22"/>
    <mergeCell ref="L21:L22"/>
    <mergeCell ref="M21:M22"/>
    <mergeCell ref="B21:B22"/>
    <mergeCell ref="C21:C22"/>
    <mergeCell ref="D27:D28"/>
    <mergeCell ref="E27:E28"/>
    <mergeCell ref="F27:F28"/>
    <mergeCell ref="G27:G28"/>
    <mergeCell ref="B25:B26"/>
    <mergeCell ref="C25:C26"/>
    <mergeCell ref="D25:D26"/>
    <mergeCell ref="E25:E26"/>
    <mergeCell ref="F25:F26"/>
    <mergeCell ref="G25:G26"/>
    <mergeCell ref="J29:J30"/>
    <mergeCell ref="K29:K30"/>
    <mergeCell ref="L29:L30"/>
    <mergeCell ref="M29:M30"/>
    <mergeCell ref="N29:N30"/>
    <mergeCell ref="O29:O30"/>
    <mergeCell ref="N27:N28"/>
    <mergeCell ref="O27:O28"/>
    <mergeCell ref="B29:B30"/>
    <mergeCell ref="C29:C30"/>
    <mergeCell ref="D29:D30"/>
    <mergeCell ref="E29:E30"/>
    <mergeCell ref="F29:F30"/>
    <mergeCell ref="G29:G30"/>
    <mergeCell ref="H29:H30"/>
    <mergeCell ref="I29:I30"/>
    <mergeCell ref="H27:H28"/>
    <mergeCell ref="I27:I28"/>
    <mergeCell ref="J27:J28"/>
    <mergeCell ref="K27:K28"/>
    <mergeCell ref="L27:L28"/>
    <mergeCell ref="M27:M28"/>
    <mergeCell ref="B27:B28"/>
    <mergeCell ref="C27:C28"/>
    <mergeCell ref="O33:O34"/>
    <mergeCell ref="N31:N32"/>
    <mergeCell ref="O31:O32"/>
    <mergeCell ref="B33:B34"/>
    <mergeCell ref="C33:C34"/>
    <mergeCell ref="D33:D34"/>
    <mergeCell ref="E33:E34"/>
    <mergeCell ref="F33:F34"/>
    <mergeCell ref="G33:G34"/>
    <mergeCell ref="H33:H34"/>
    <mergeCell ref="I33:I34"/>
    <mergeCell ref="H31:H32"/>
    <mergeCell ref="I31:I32"/>
    <mergeCell ref="J31:J32"/>
    <mergeCell ref="K31:K32"/>
    <mergeCell ref="L31:L32"/>
    <mergeCell ref="M31:M32"/>
    <mergeCell ref="B31:B32"/>
    <mergeCell ref="C31:C32"/>
    <mergeCell ref="D31:D32"/>
    <mergeCell ref="E31:E32"/>
    <mergeCell ref="F31:F32"/>
    <mergeCell ref="G31:G32"/>
    <mergeCell ref="D35:D36"/>
    <mergeCell ref="E35:E36"/>
    <mergeCell ref="F35:F36"/>
    <mergeCell ref="G35:G36"/>
    <mergeCell ref="J33:J34"/>
    <mergeCell ref="K33:K34"/>
    <mergeCell ref="L33:L34"/>
    <mergeCell ref="M33:M34"/>
    <mergeCell ref="N33:N34"/>
    <mergeCell ref="J37:J38"/>
    <mergeCell ref="K37:K38"/>
    <mergeCell ref="L37:L38"/>
    <mergeCell ref="M37:M38"/>
    <mergeCell ref="N37:N38"/>
    <mergeCell ref="O37:O38"/>
    <mergeCell ref="N35:N36"/>
    <mergeCell ref="O35:O36"/>
    <mergeCell ref="B37:B38"/>
    <mergeCell ref="C37:C38"/>
    <mergeCell ref="D37:D38"/>
    <mergeCell ref="E37:E38"/>
    <mergeCell ref="F37:F38"/>
    <mergeCell ref="G37:G38"/>
    <mergeCell ref="H37:H38"/>
    <mergeCell ref="I37:I38"/>
    <mergeCell ref="H35:H36"/>
    <mergeCell ref="I35:I36"/>
    <mergeCell ref="J35:J36"/>
    <mergeCell ref="K35:K36"/>
    <mergeCell ref="L35:L36"/>
    <mergeCell ref="M35:M36"/>
    <mergeCell ref="B35:B36"/>
    <mergeCell ref="C35:C36"/>
    <mergeCell ref="O41:O42"/>
    <mergeCell ref="N39:N40"/>
    <mergeCell ref="O39:O40"/>
    <mergeCell ref="B41:B42"/>
    <mergeCell ref="C41:C42"/>
    <mergeCell ref="D41:D42"/>
    <mergeCell ref="E41:E42"/>
    <mergeCell ref="F41:F42"/>
    <mergeCell ref="G41:G42"/>
    <mergeCell ref="H41:H42"/>
    <mergeCell ref="I41:I42"/>
    <mergeCell ref="H39:H40"/>
    <mergeCell ref="I39:I40"/>
    <mergeCell ref="J39:J40"/>
    <mergeCell ref="K39:K40"/>
    <mergeCell ref="L39:L40"/>
    <mergeCell ref="M39:M40"/>
    <mergeCell ref="B39:B40"/>
    <mergeCell ref="C39:C40"/>
    <mergeCell ref="D39:D40"/>
    <mergeCell ref="E39:E40"/>
    <mergeCell ref="F39:F40"/>
    <mergeCell ref="G39:G40"/>
    <mergeCell ref="D43:D44"/>
    <mergeCell ref="E43:E44"/>
    <mergeCell ref="F43:F44"/>
    <mergeCell ref="G43:G44"/>
    <mergeCell ref="J41:J42"/>
    <mergeCell ref="K41:K42"/>
    <mergeCell ref="L41:L42"/>
    <mergeCell ref="M41:M42"/>
    <mergeCell ref="N41:N42"/>
    <mergeCell ref="J45:J46"/>
    <mergeCell ref="K45:K46"/>
    <mergeCell ref="L45:L46"/>
    <mergeCell ref="M45:M46"/>
    <mergeCell ref="N45:N46"/>
    <mergeCell ref="O45:O46"/>
    <mergeCell ref="N43:N44"/>
    <mergeCell ref="O43:O44"/>
    <mergeCell ref="B45:B46"/>
    <mergeCell ref="C45:C46"/>
    <mergeCell ref="D45:D46"/>
    <mergeCell ref="E45:E46"/>
    <mergeCell ref="F45:F46"/>
    <mergeCell ref="G45:G46"/>
    <mergeCell ref="H45:H46"/>
    <mergeCell ref="I45:I46"/>
    <mergeCell ref="H43:H44"/>
    <mergeCell ref="I43:I44"/>
    <mergeCell ref="J43:J44"/>
    <mergeCell ref="K43:K44"/>
    <mergeCell ref="L43:L44"/>
    <mergeCell ref="M43:M44"/>
    <mergeCell ref="B43:B44"/>
    <mergeCell ref="C43:C44"/>
    <mergeCell ref="N47:N48"/>
    <mergeCell ref="O47:O48"/>
    <mergeCell ref="H47:H48"/>
    <mergeCell ref="I47:I48"/>
    <mergeCell ref="J47:J48"/>
    <mergeCell ref="K47:K48"/>
    <mergeCell ref="L47:L48"/>
    <mergeCell ref="M47:M48"/>
    <mergeCell ref="B47:B48"/>
    <mergeCell ref="C47:C48"/>
    <mergeCell ref="D47:D48"/>
    <mergeCell ref="E47:E48"/>
    <mergeCell ref="F47:F48"/>
    <mergeCell ref="G47:G48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W62"/>
  <sheetViews>
    <sheetView zoomScale="55" zoomScaleNormal="55" workbookViewId="0">
      <selection activeCell="S28" sqref="S28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9"/>
      <c r="H2" s="29"/>
      <c r="I2" s="107" t="s">
        <v>23</v>
      </c>
      <c r="J2" s="10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IF(E6,((I12+I38)/2),I12)</f>
        <v>138.73912347732721</v>
      </c>
      <c r="J4" s="117">
        <f>IF(E6,((J12+J38)/2),J12)</f>
        <v>-11.244532311834911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23</v>
      </c>
      <c r="E6" s="22">
        <v>0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263.10000000000002</v>
      </c>
      <c r="C12" s="25">
        <v>164</v>
      </c>
      <c r="D12" s="4">
        <f>IF(B12,B12-$C$4," ")</f>
        <v>-6.8999999999999773</v>
      </c>
      <c r="E12" s="4">
        <f>IF(B12,INT(D12)," ")</f>
        <v>-7</v>
      </c>
      <c r="F12" s="4">
        <f>IF(B12,((D12-E12)/60*100)," ")</f>
        <v>0.16666666666670457</v>
      </c>
      <c r="G12" s="4">
        <f>IF(B12,C12*COS(PI()/180*(E12+F12))," ")</f>
        <v>162.83501869093146</v>
      </c>
      <c r="H12" s="4">
        <f>IF(B12,(C12*SIN(PI()/180*(E12+F12)))," ")</f>
        <v>-19.512987672932059</v>
      </c>
      <c r="I12" s="4">
        <f>SUM(G12:G34)/D6</f>
        <v>138.73912347732721</v>
      </c>
      <c r="J12" s="4">
        <f>SUM(H12:H34)/D6</f>
        <v>-11.244532311834911</v>
      </c>
      <c r="K12" s="4">
        <f>IF(B12,SUM(G12,-$I$12)," ")</f>
        <v>24.095895213604251</v>
      </c>
      <c r="L12" s="4">
        <f>IF(B12,SUM(H12,-$J$12)," ")</f>
        <v>-8.2684553610971481</v>
      </c>
      <c r="M12" s="4">
        <f>IF(B12,POWER(K12,2)," ")</f>
        <v>580.61216614499631</v>
      </c>
      <c r="N12" s="4">
        <f>IF(B12,POWER(L12,2)," ")</f>
        <v>68.367354058456172</v>
      </c>
      <c r="O12" s="4">
        <f>D6-1</f>
        <v>22</v>
      </c>
      <c r="P12" s="4">
        <f>SUM(M12:M35)</f>
        <v>27577.855810993497</v>
      </c>
      <c r="Q12" s="4">
        <f>SUM(N12:N35)</f>
        <v>1669.5147151207309</v>
      </c>
      <c r="R12" s="4">
        <f>PRODUCT(P12,1/$O$12)</f>
        <v>1253.5389004997044</v>
      </c>
      <c r="S12" s="4">
        <f>PRODUCT(Q12,1/$O$12)</f>
        <v>75.887032505487767</v>
      </c>
      <c r="T12" s="4">
        <f>SQRT(R12)</f>
        <v>35.405351297504509</v>
      </c>
      <c r="U12" s="4">
        <f>SQRT(S12)</f>
        <v>8.7113163474579292</v>
      </c>
      <c r="V12" s="4">
        <f>PRODUCT(T12:U12)</f>
        <v>308.42721554544181</v>
      </c>
      <c r="W12" s="10">
        <f>SQRT(V12)</f>
        <v>17.562095989529318</v>
      </c>
    </row>
    <row r="13" spans="1:23">
      <c r="A13" s="3">
        <v>2</v>
      </c>
      <c r="B13" s="25">
        <v>266.10000000000002</v>
      </c>
      <c r="C13" s="25">
        <v>258</v>
      </c>
      <c r="D13" s="4">
        <f t="shared" ref="D13:D35" si="0">IF(B13,B13-$C$4," ")</f>
        <v>-3.8999999999999773</v>
      </c>
      <c r="E13" s="4">
        <f t="shared" ref="E13:E35" si="1">IF(B13,INT(D13)," ")</f>
        <v>-4</v>
      </c>
      <c r="F13" s="4">
        <f t="shared" ref="F13:F35" si="2">IF(B13,((D13-E13)/60*100)," ")</f>
        <v>0.16666666666670457</v>
      </c>
      <c r="G13" s="4">
        <f t="shared" ref="G13:G35" si="3">IF(B13,C13*COS(PI()/180*(E13+F13))," ")</f>
        <v>257.42278765325</v>
      </c>
      <c r="H13" s="4">
        <f t="shared" ref="H13:H35" si="4">IF(B13,(C13*SIN(PI()/180*(E13+F13)))," ")</f>
        <v>-17.248431720876837</v>
      </c>
      <c r="I13" s="4"/>
      <c r="J13" s="4"/>
      <c r="K13" s="4">
        <f t="shared" ref="K13:K35" si="5">IF(B13,SUM(G13,-$I$12)," ")</f>
        <v>118.68366417592279</v>
      </c>
      <c r="L13" s="4">
        <f t="shared" ref="L13:L35" si="6">IF(B13,SUM(H13,-$J$12)," ")</f>
        <v>-6.0038994090419262</v>
      </c>
      <c r="M13" s="4">
        <f t="shared" ref="M13:M35" si="7">IF(B13,POWER(K13,2)," ")</f>
        <v>14085.812142223218</v>
      </c>
      <c r="N13" s="4">
        <f t="shared" ref="N13:N34" si="8">IF(B13,POWER(L13,2)," ")</f>
        <v>36.046808113893988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267.3</v>
      </c>
      <c r="C14" s="25">
        <v>160</v>
      </c>
      <c r="D14" s="4">
        <f t="shared" si="0"/>
        <v>-2.6999999999999886</v>
      </c>
      <c r="E14" s="4">
        <f t="shared" si="1"/>
        <v>-3</v>
      </c>
      <c r="F14" s="4">
        <f t="shared" si="2"/>
        <v>0.50000000000001887</v>
      </c>
      <c r="G14" s="4">
        <f t="shared" si="3"/>
        <v>159.84771545309724</v>
      </c>
      <c r="H14" s="4">
        <f t="shared" si="4"/>
        <v>-6.9791019784537074</v>
      </c>
      <c r="I14" s="4"/>
      <c r="J14" s="4"/>
      <c r="K14" s="4">
        <f t="shared" si="5"/>
        <v>21.108591975770025</v>
      </c>
      <c r="L14" s="4">
        <f t="shared" si="6"/>
        <v>4.2654303333812038</v>
      </c>
      <c r="M14" s="4">
        <f t="shared" si="7"/>
        <v>445.57265519954268</v>
      </c>
      <c r="N14" s="4">
        <f t="shared" si="8"/>
        <v>18.193895928928487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268.2</v>
      </c>
      <c r="C15" s="25">
        <v>166</v>
      </c>
      <c r="D15" s="4">
        <f t="shared" si="0"/>
        <v>-1.8000000000000114</v>
      </c>
      <c r="E15" s="4">
        <f t="shared" si="1"/>
        <v>-2</v>
      </c>
      <c r="F15" s="4">
        <f t="shared" si="2"/>
        <v>0.33333333333331439</v>
      </c>
      <c r="G15" s="4">
        <f t="shared" si="3"/>
        <v>165.92977371364529</v>
      </c>
      <c r="H15" s="4">
        <f t="shared" si="4"/>
        <v>-4.8280633113565479</v>
      </c>
      <c r="I15" s="4"/>
      <c r="J15" s="4"/>
      <c r="K15" s="4">
        <f t="shared" si="5"/>
        <v>27.190650236318078</v>
      </c>
      <c r="L15" s="4">
        <f t="shared" si="6"/>
        <v>6.4164690004783633</v>
      </c>
      <c r="M15" s="4">
        <f t="shared" si="7"/>
        <v>739.33146027378439</v>
      </c>
      <c r="N15" s="4">
        <f t="shared" si="8"/>
        <v>41.171074434099808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267.45</v>
      </c>
      <c r="C16" s="25">
        <v>156</v>
      </c>
      <c r="D16" s="4">
        <f t="shared" si="0"/>
        <v>-2.5500000000000114</v>
      </c>
      <c r="E16" s="4">
        <f t="shared" si="1"/>
        <v>-3</v>
      </c>
      <c r="F16" s="4">
        <f t="shared" si="2"/>
        <v>0.74999999999998102</v>
      </c>
      <c r="G16" s="4">
        <f t="shared" si="3"/>
        <v>155.87972965355277</v>
      </c>
      <c r="H16" s="4">
        <f t="shared" si="4"/>
        <v>-6.1245312584147555</v>
      </c>
      <c r="I16" s="4"/>
      <c r="J16" s="4"/>
      <c r="K16" s="4">
        <f t="shared" si="5"/>
        <v>17.14060617622556</v>
      </c>
      <c r="L16" s="4">
        <f t="shared" si="6"/>
        <v>5.1200010534201557</v>
      </c>
      <c r="M16" s="4">
        <f t="shared" si="7"/>
        <v>293.80038008846185</v>
      </c>
      <c r="N16" s="4">
        <f t="shared" si="8"/>
        <v>26.214410787023503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266.5</v>
      </c>
      <c r="C17" s="25">
        <v>154</v>
      </c>
      <c r="D17" s="4">
        <f t="shared" si="0"/>
        <v>-3.5</v>
      </c>
      <c r="E17" s="4">
        <f t="shared" si="1"/>
        <v>-4</v>
      </c>
      <c r="F17" s="4">
        <f t="shared" si="2"/>
        <v>0.83333333333333337</v>
      </c>
      <c r="G17" s="4">
        <f t="shared" si="3"/>
        <v>153.76485291048593</v>
      </c>
      <c r="H17" s="4">
        <f t="shared" si="4"/>
        <v>-8.5070564484210642</v>
      </c>
      <c r="I17" s="4"/>
      <c r="J17" s="4"/>
      <c r="K17" s="4">
        <f t="shared" si="5"/>
        <v>15.025729433158716</v>
      </c>
      <c r="L17" s="4">
        <f t="shared" si="6"/>
        <v>2.737475863413847</v>
      </c>
      <c r="M17" s="4">
        <f t="shared" si="7"/>
        <v>225.77254499849215</v>
      </c>
      <c r="N17" s="4">
        <f t="shared" si="8"/>
        <v>7.4937741027733873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266.3</v>
      </c>
      <c r="C18" s="25">
        <v>156</v>
      </c>
      <c r="D18" s="4">
        <f t="shared" si="0"/>
        <v>-3.6999999999999886</v>
      </c>
      <c r="E18" s="4">
        <f t="shared" si="1"/>
        <v>-4</v>
      </c>
      <c r="F18" s="4">
        <f t="shared" si="2"/>
        <v>0.50000000000001887</v>
      </c>
      <c r="G18" s="4">
        <f t="shared" si="3"/>
        <v>155.70902855381127</v>
      </c>
      <c r="H18" s="4">
        <f t="shared" si="4"/>
        <v>-9.5235721674376208</v>
      </c>
      <c r="I18" s="4"/>
      <c r="J18" s="4"/>
      <c r="K18" s="4">
        <f t="shared" si="5"/>
        <v>16.969905076484054</v>
      </c>
      <c r="L18" s="4">
        <f t="shared" si="6"/>
        <v>1.7209601443972904</v>
      </c>
      <c r="M18" s="4">
        <f t="shared" si="7"/>
        <v>287.97767830487925</v>
      </c>
      <c r="N18" s="4">
        <f t="shared" si="8"/>
        <v>2.9617038186039424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264.55</v>
      </c>
      <c r="C19" s="25">
        <v>156</v>
      </c>
      <c r="D19" s="4">
        <f t="shared" si="0"/>
        <v>-5.4499999999999886</v>
      </c>
      <c r="E19" s="4">
        <f t="shared" si="1"/>
        <v>-6</v>
      </c>
      <c r="F19" s="4">
        <f t="shared" si="2"/>
        <v>0.91666666666668561</v>
      </c>
      <c r="G19" s="4">
        <f t="shared" si="3"/>
        <v>155.38643352534135</v>
      </c>
      <c r="H19" s="4">
        <f t="shared" si="4"/>
        <v>-13.822310815297101</v>
      </c>
      <c r="I19" s="4"/>
      <c r="J19" s="4"/>
      <c r="K19" s="4">
        <f t="shared" si="5"/>
        <v>16.647310048014134</v>
      </c>
      <c r="L19" s="4">
        <f t="shared" si="6"/>
        <v>-2.5777785034621896</v>
      </c>
      <c r="M19" s="4">
        <f t="shared" si="7"/>
        <v>277.13293183471234</v>
      </c>
      <c r="N19" s="4">
        <f t="shared" si="8"/>
        <v>6.6449420129117662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262.2</v>
      </c>
      <c r="C20" s="25">
        <v>144</v>
      </c>
      <c r="D20" s="4">
        <f t="shared" si="0"/>
        <v>-7.8000000000000114</v>
      </c>
      <c r="E20" s="4">
        <f t="shared" si="1"/>
        <v>-8</v>
      </c>
      <c r="F20" s="4">
        <f t="shared" si="2"/>
        <v>0.33333333333331439</v>
      </c>
      <c r="G20" s="4">
        <f t="shared" si="3"/>
        <v>142.7127814090654</v>
      </c>
      <c r="H20" s="4">
        <f t="shared" si="4"/>
        <v>-19.210987025353873</v>
      </c>
      <c r="I20" s="4"/>
      <c r="J20" s="4"/>
      <c r="K20" s="4">
        <f t="shared" si="5"/>
        <v>3.9736579317381882</v>
      </c>
      <c r="L20" s="4">
        <f t="shared" si="6"/>
        <v>-7.9664547135189618</v>
      </c>
      <c r="M20" s="4">
        <f t="shared" si="7"/>
        <v>15.789957358465815</v>
      </c>
      <c r="N20" s="4">
        <f t="shared" si="8"/>
        <v>63.464400702548481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268</v>
      </c>
      <c r="C21" s="25">
        <v>146</v>
      </c>
      <c r="D21" s="4">
        <f t="shared" si="0"/>
        <v>-2</v>
      </c>
      <c r="E21" s="4">
        <f t="shared" si="1"/>
        <v>-2</v>
      </c>
      <c r="F21" s="4">
        <f t="shared" si="2"/>
        <v>0</v>
      </c>
      <c r="G21" s="4">
        <f t="shared" si="3"/>
        <v>145.91106074478799</v>
      </c>
      <c r="H21" s="4">
        <f t="shared" si="4"/>
        <v>-5.0953265185651411</v>
      </c>
      <c r="I21" s="4"/>
      <c r="J21" s="4"/>
      <c r="K21" s="4">
        <f t="shared" si="5"/>
        <v>7.1719372674607769</v>
      </c>
      <c r="L21" s="4">
        <f t="shared" si="6"/>
        <v>6.1492057932697701</v>
      </c>
      <c r="M21" s="4">
        <f t="shared" si="7"/>
        <v>51.436684168392752</v>
      </c>
      <c r="N21" s="4">
        <f t="shared" si="8"/>
        <v>37.812731887982501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270.35000000000002</v>
      </c>
      <c r="C22" s="25">
        <v>140</v>
      </c>
      <c r="D22" s="4">
        <f t="shared" si="0"/>
        <v>0.35000000000002274</v>
      </c>
      <c r="E22" s="4">
        <f t="shared" si="1"/>
        <v>0</v>
      </c>
      <c r="F22" s="4">
        <f t="shared" si="2"/>
        <v>0.58333333333337123</v>
      </c>
      <c r="G22" s="4">
        <f t="shared" si="3"/>
        <v>139.99274424496724</v>
      </c>
      <c r="H22" s="4">
        <f t="shared" si="4"/>
        <v>1.4253275985519025</v>
      </c>
      <c r="I22" s="4"/>
      <c r="J22" s="4"/>
      <c r="K22" s="4">
        <f t="shared" si="5"/>
        <v>1.2536207676400295</v>
      </c>
      <c r="L22" s="4">
        <f t="shared" si="6"/>
        <v>12.669859910386814</v>
      </c>
      <c r="M22" s="4">
        <f t="shared" si="7"/>
        <v>1.5715650290583769</v>
      </c>
      <c r="N22" s="4">
        <f t="shared" si="8"/>
        <v>160.52535014882696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265.5</v>
      </c>
      <c r="C23" s="25">
        <v>138</v>
      </c>
      <c r="D23" s="4">
        <f t="shared" si="0"/>
        <v>-4.5</v>
      </c>
      <c r="E23" s="4">
        <f t="shared" si="1"/>
        <v>-5</v>
      </c>
      <c r="F23" s="4">
        <f t="shared" si="2"/>
        <v>0.83333333333333337</v>
      </c>
      <c r="G23" s="4">
        <f t="shared" si="3"/>
        <v>137.63525450467898</v>
      </c>
      <c r="H23" s="4">
        <f t="shared" si="4"/>
        <v>-10.026799959720265</v>
      </c>
      <c r="I23" s="4"/>
      <c r="J23" s="4"/>
      <c r="K23" s="4">
        <f t="shared" si="5"/>
        <v>-1.1038689726482289</v>
      </c>
      <c r="L23" s="4">
        <f t="shared" si="6"/>
        <v>1.2177323521146466</v>
      </c>
      <c r="M23" s="4">
        <f t="shared" si="7"/>
        <v>1.2185267087754563</v>
      </c>
      <c r="N23" s="4">
        <f t="shared" si="8"/>
        <v>1.4828720813866696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264.05</v>
      </c>
      <c r="C24" s="25">
        <v>138</v>
      </c>
      <c r="D24" s="4">
        <f t="shared" si="0"/>
        <v>-5.9499999999999886</v>
      </c>
      <c r="E24" s="4">
        <f t="shared" si="1"/>
        <v>-6</v>
      </c>
      <c r="F24" s="4">
        <f t="shared" si="2"/>
        <v>8.3333333333352286E-2</v>
      </c>
      <c r="G24" s="4">
        <f t="shared" si="3"/>
        <v>137.26485659776449</v>
      </c>
      <c r="H24" s="4">
        <f t="shared" si="4"/>
        <v>-14.225299406169</v>
      </c>
      <c r="I24" s="4"/>
      <c r="J24" s="4"/>
      <c r="K24" s="4">
        <f t="shared" si="5"/>
        <v>-1.4742668795627196</v>
      </c>
      <c r="L24" s="4">
        <f t="shared" si="6"/>
        <v>-2.9807670943340892</v>
      </c>
      <c r="M24" s="4">
        <f t="shared" si="7"/>
        <v>2.1734628321755984</v>
      </c>
      <c r="N24" s="4">
        <f t="shared" si="8"/>
        <v>8.8849724706648896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260.14999999999998</v>
      </c>
      <c r="C25" s="25">
        <v>140</v>
      </c>
      <c r="D25" s="4">
        <f t="shared" si="0"/>
        <v>-9.8500000000000227</v>
      </c>
      <c r="E25" s="4">
        <f t="shared" si="1"/>
        <v>-10</v>
      </c>
      <c r="F25" s="4">
        <f t="shared" si="2"/>
        <v>0.24999999999996211</v>
      </c>
      <c r="G25" s="4">
        <f t="shared" si="3"/>
        <v>137.97784826813086</v>
      </c>
      <c r="H25" s="4">
        <f t="shared" si="4"/>
        <v>-23.708930538863534</v>
      </c>
      <c r="I25" s="4"/>
      <c r="J25" s="4"/>
      <c r="K25" s="4">
        <f t="shared" si="5"/>
        <v>-0.76127520919635572</v>
      </c>
      <c r="L25" s="4">
        <f t="shared" si="6"/>
        <v>-12.464398227028623</v>
      </c>
      <c r="M25" s="4">
        <f t="shared" si="7"/>
        <v>0.5795399441369552</v>
      </c>
      <c r="N25" s="4">
        <f t="shared" si="8"/>
        <v>155.36122316195429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253.55</v>
      </c>
      <c r="C26" s="25">
        <v>128</v>
      </c>
      <c r="D26" s="4">
        <f t="shared" si="0"/>
        <v>-16.449999999999989</v>
      </c>
      <c r="E26" s="4">
        <f t="shared" si="1"/>
        <v>-17</v>
      </c>
      <c r="F26" s="4">
        <f t="shared" si="2"/>
        <v>0.91666666666668561</v>
      </c>
      <c r="G26" s="4">
        <f t="shared" si="3"/>
        <v>122.99005197703326</v>
      </c>
      <c r="H26" s="4">
        <f t="shared" si="4"/>
        <v>-35.460500767567524</v>
      </c>
      <c r="I26" s="4"/>
      <c r="J26" s="4"/>
      <c r="K26" s="4">
        <f t="shared" si="5"/>
        <v>-15.749071500293951</v>
      </c>
      <c r="L26" s="4">
        <f t="shared" si="6"/>
        <v>-24.215968455732614</v>
      </c>
      <c r="M26" s="4">
        <f t="shared" si="7"/>
        <v>248.03325312137116</v>
      </c>
      <c r="N26" s="4">
        <f t="shared" si="8"/>
        <v>586.41312824903707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261.55</v>
      </c>
      <c r="C27" s="25">
        <v>122</v>
      </c>
      <c r="D27" s="4">
        <f t="shared" si="0"/>
        <v>-8.4499999999999886</v>
      </c>
      <c r="E27" s="4">
        <f t="shared" si="1"/>
        <v>-9</v>
      </c>
      <c r="F27" s="4">
        <f t="shared" si="2"/>
        <v>0.91666666666668561</v>
      </c>
      <c r="G27" s="4">
        <f t="shared" si="3"/>
        <v>120.78788148511899</v>
      </c>
      <c r="H27" s="4">
        <f t="shared" si="4"/>
        <v>-17.154815252192307</v>
      </c>
      <c r="I27" s="4"/>
      <c r="J27" s="4"/>
      <c r="K27" s="4">
        <f t="shared" si="5"/>
        <v>-17.951241992208224</v>
      </c>
      <c r="L27" s="4">
        <f t="shared" si="6"/>
        <v>-5.910282940357396</v>
      </c>
      <c r="M27" s="4">
        <f t="shared" si="7"/>
        <v>322.2470890628199</v>
      </c>
      <c r="N27" s="4">
        <f t="shared" si="8"/>
        <v>34.931444435079669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263.55</v>
      </c>
      <c r="C28" s="25">
        <v>128</v>
      </c>
      <c r="D28" s="4">
        <f t="shared" si="0"/>
        <v>-6.4499999999999886</v>
      </c>
      <c r="E28" s="4">
        <f t="shared" si="1"/>
        <v>-7</v>
      </c>
      <c r="F28" s="4">
        <f t="shared" si="2"/>
        <v>0.91666666666668561</v>
      </c>
      <c r="G28" s="4">
        <f t="shared" si="3"/>
        <v>127.27920806780169</v>
      </c>
      <c r="H28" s="4">
        <f t="shared" si="4"/>
        <v>-13.564777684622982</v>
      </c>
      <c r="I28" s="4"/>
      <c r="J28" s="4"/>
      <c r="K28" s="4">
        <f t="shared" si="5"/>
        <v>-11.459915409525522</v>
      </c>
      <c r="L28" s="4">
        <f t="shared" si="6"/>
        <v>-2.3202453727880705</v>
      </c>
      <c r="M28" s="4">
        <f t="shared" si="7"/>
        <v>131.32966119348049</v>
      </c>
      <c r="N28" s="4">
        <f t="shared" si="8"/>
        <v>5.3835385899444521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268.45</v>
      </c>
      <c r="C29" s="25">
        <v>120</v>
      </c>
      <c r="D29" s="4">
        <f t="shared" si="0"/>
        <v>-1.5500000000000114</v>
      </c>
      <c r="E29" s="4">
        <f t="shared" si="1"/>
        <v>-2</v>
      </c>
      <c r="F29" s="4">
        <f t="shared" si="2"/>
        <v>0.74999999999998102</v>
      </c>
      <c r="G29" s="4">
        <f t="shared" si="3"/>
        <v>119.9714432495891</v>
      </c>
      <c r="H29" s="4">
        <f t="shared" si="4"/>
        <v>-2.6177862041473743</v>
      </c>
      <c r="I29" s="4"/>
      <c r="J29" s="4"/>
      <c r="K29" s="4">
        <f t="shared" si="5"/>
        <v>-18.767680227738111</v>
      </c>
      <c r="L29" s="4">
        <f t="shared" si="6"/>
        <v>8.6267461076875378</v>
      </c>
      <c r="M29" s="4">
        <f t="shared" si="7"/>
        <v>352.22582113063203</v>
      </c>
      <c r="N29" s="4">
        <f t="shared" si="8"/>
        <v>74.420748406502085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267.45</v>
      </c>
      <c r="C30" s="25">
        <v>118</v>
      </c>
      <c r="D30" s="4">
        <f t="shared" si="0"/>
        <v>-2.5500000000000114</v>
      </c>
      <c r="E30" s="4">
        <f t="shared" si="1"/>
        <v>-3</v>
      </c>
      <c r="F30" s="4">
        <f t="shared" si="2"/>
        <v>0.74999999999998102</v>
      </c>
      <c r="G30" s="4">
        <f t="shared" si="3"/>
        <v>117.9090262764053</v>
      </c>
      <c r="H30" s="4">
        <f t="shared" si="4"/>
        <v>-4.6326582595701353</v>
      </c>
      <c r="I30" s="4"/>
      <c r="J30" s="4"/>
      <c r="K30" s="4">
        <f t="shared" si="5"/>
        <v>-20.830097200921912</v>
      </c>
      <c r="L30" s="4">
        <f t="shared" si="6"/>
        <v>6.6118740522647759</v>
      </c>
      <c r="M30" s="4">
        <f t="shared" si="7"/>
        <v>433.8929493998549</v>
      </c>
      <c r="N30" s="4">
        <f t="shared" si="8"/>
        <v>43.716878483012231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272.45</v>
      </c>
      <c r="C31" s="25">
        <v>108</v>
      </c>
      <c r="D31" s="4">
        <f t="shared" si="0"/>
        <v>2.4499999999999886</v>
      </c>
      <c r="E31" s="4">
        <f t="shared" si="1"/>
        <v>2</v>
      </c>
      <c r="F31" s="4">
        <f>IF(B31,((D31-E31)/60*100)," ")</f>
        <v>0.74999999999998102</v>
      </c>
      <c r="G31" s="4">
        <f t="shared" si="3"/>
        <v>107.87562574037467</v>
      </c>
      <c r="H31" s="4">
        <f t="shared" si="4"/>
        <v>5.18163788030511</v>
      </c>
      <c r="I31" s="4"/>
      <c r="J31" s="4"/>
      <c r="K31" s="4">
        <f t="shared" si="5"/>
        <v>-30.863497736952539</v>
      </c>
      <c r="L31" s="4">
        <f t="shared" si="6"/>
        <v>16.42617019214002</v>
      </c>
      <c r="M31" s="4">
        <f t="shared" si="7"/>
        <v>952.55549255887445</v>
      </c>
      <c r="N31" s="4">
        <f t="shared" si="8"/>
        <v>269.81906718114931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263.39999999999998</v>
      </c>
      <c r="C32" s="25">
        <v>104</v>
      </c>
      <c r="D32" s="4">
        <f t="shared" si="0"/>
        <v>-6.6000000000000227</v>
      </c>
      <c r="E32" s="4">
        <f t="shared" si="1"/>
        <v>-7</v>
      </c>
      <c r="F32" s="4">
        <f t="shared" si="2"/>
        <v>0.66666666666662877</v>
      </c>
      <c r="G32" s="4">
        <f t="shared" si="3"/>
        <v>103.36528242711006</v>
      </c>
      <c r="H32" s="4">
        <f>IF(B32,(C32*SIN(PI()/180*(E32+F32)))," ")</f>
        <v>-11.472505775277286</v>
      </c>
      <c r="I32" s="4"/>
      <c r="J32" s="4"/>
      <c r="K32" s="4">
        <f t="shared" si="5"/>
        <v>-35.373841050217152</v>
      </c>
      <c r="L32" s="4">
        <f t="shared" si="6"/>
        <v>-0.22797346344237468</v>
      </c>
      <c r="M32" s="4">
        <f t="shared" si="7"/>
        <v>1251.3086306460282</v>
      </c>
      <c r="N32" s="4">
        <f t="shared" si="8"/>
        <v>5.1971900033911743E-2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261.3</v>
      </c>
      <c r="C33" s="25">
        <v>94</v>
      </c>
      <c r="D33" s="4">
        <f t="shared" si="0"/>
        <v>-8.6999999999999886</v>
      </c>
      <c r="E33" s="4">
        <f t="shared" si="1"/>
        <v>-9</v>
      </c>
      <c r="F33" s="4">
        <f t="shared" si="2"/>
        <v>0.50000000000001887</v>
      </c>
      <c r="G33" s="4">
        <f t="shared" si="3"/>
        <v>92.967491156020188</v>
      </c>
      <c r="H33" s="4">
        <f t="shared" si="4"/>
        <v>-13.894084646183366</v>
      </c>
      <c r="I33" s="4"/>
      <c r="J33" s="4"/>
      <c r="K33" s="4">
        <f t="shared" si="5"/>
        <v>-45.771632321307024</v>
      </c>
      <c r="L33" s="4">
        <f t="shared" si="6"/>
        <v>-2.6495523343484546</v>
      </c>
      <c r="M33" s="4">
        <f t="shared" si="7"/>
        <v>2095.0423253569179</v>
      </c>
      <c r="N33" s="4">
        <f t="shared" si="8"/>
        <v>7.0201275724513446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263.45</v>
      </c>
      <c r="C34" s="25">
        <v>70</v>
      </c>
      <c r="D34" s="4">
        <f t="shared" si="0"/>
        <v>-6.5500000000000114</v>
      </c>
      <c r="E34" s="4">
        <f t="shared" si="1"/>
        <v>-7</v>
      </c>
      <c r="F34" s="4">
        <f t="shared" si="2"/>
        <v>0.74999999999998102</v>
      </c>
      <c r="G34" s="4">
        <f t="shared" si="3"/>
        <v>69.583943675562367</v>
      </c>
      <c r="H34" s="4">
        <f t="shared" si="4"/>
        <v>-7.620681239637543</v>
      </c>
      <c r="I34" s="4"/>
      <c r="J34" s="4"/>
      <c r="K34" s="4">
        <f>IF(B34,SUM(G34,-$I$12)," ")</f>
        <v>-69.155179801764845</v>
      </c>
      <c r="L34" s="4">
        <f t="shared" si="6"/>
        <v>3.6238510721973682</v>
      </c>
      <c r="M34" s="4">
        <f t="shared" si="7"/>
        <v>4782.4388934144245</v>
      </c>
      <c r="N34" s="4">
        <f t="shared" si="8"/>
        <v>13.132296593466016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/>
      <c r="C38" s="25"/>
      <c r="D38" s="4" t="str">
        <f t="shared" ref="D38:D61" si="9">IF(B38,B38-$C$4," ")</f>
        <v xml:space="preserve"> </v>
      </c>
      <c r="E38" s="4" t="str">
        <f t="shared" ref="E38:E61" si="10">IF(B38,INT(D38)," ")</f>
        <v xml:space="preserve"> </v>
      </c>
      <c r="F38" s="4" t="str">
        <f t="shared" ref="F38:F61" si="11">IF(B38,((D38-E38)/60*100)," ")</f>
        <v xml:space="preserve"> </v>
      </c>
      <c r="G38" s="4" t="str">
        <f t="shared" ref="G38:G61" si="12">IF(B38,C38*COS(PI()/180*(E38+F38))," ")</f>
        <v xml:space="preserve"> </v>
      </c>
      <c r="H38" s="4" t="str">
        <f t="shared" ref="H38:H61" si="13">IF(B38,(C38*SIN(PI()/180*(E38+F38)))," ")</f>
        <v xml:space="preserve"> </v>
      </c>
      <c r="I38" s="4" t="e">
        <f>SUM(G38:G61)/E6</f>
        <v>#DIV/0!</v>
      </c>
      <c r="J38" s="4" t="e">
        <f>SUM(H38:H61)/E6</f>
        <v>#DIV/0!</v>
      </c>
      <c r="K38" s="4" t="str">
        <f t="shared" ref="K38:K61" si="14">IF(B38,SUM(G38,-$I$12)," ")</f>
        <v xml:space="preserve"> </v>
      </c>
      <c r="L38" s="4" t="str">
        <f t="shared" ref="L38:L61" si="15">IF(B38,SUM(H38,-$J$12)," ")</f>
        <v xml:space="preserve"> </v>
      </c>
      <c r="M38" s="4" t="str">
        <f t="shared" ref="M38:M61" si="16">IF(B38,POWER(K38,2)," ")</f>
        <v xml:space="preserve"> </v>
      </c>
      <c r="N38" s="4" t="str">
        <f t="shared" ref="N38:N61" si="17">IF(B38,POWER(L38,2)," ")</f>
        <v xml:space="preserve"> </v>
      </c>
      <c r="O38" s="4">
        <f>E6-1</f>
        <v>-1</v>
      </c>
      <c r="P38" s="4">
        <f>SUM(M38:M61)</f>
        <v>0</v>
      </c>
      <c r="Q38" s="4">
        <f>SUM(N38:N61)</f>
        <v>0</v>
      </c>
      <c r="R38" s="4">
        <f>PRODUCT(P38,1/$O$38)</f>
        <v>0</v>
      </c>
      <c r="S38" s="4">
        <f>PRODUCT(Q38,1/$O$38)</f>
        <v>0</v>
      </c>
      <c r="T38" s="4">
        <f>SQRT(R38)</f>
        <v>0</v>
      </c>
      <c r="U38" s="4">
        <f>SQRT(S38)</f>
        <v>0</v>
      </c>
      <c r="V38" s="4">
        <f>PRODUCT(T38:U38)</f>
        <v>0</v>
      </c>
      <c r="W38" s="10">
        <f>SQRT(V38)</f>
        <v>0</v>
      </c>
    </row>
    <row r="39" spans="1:23">
      <c r="A39" s="3">
        <v>2</v>
      </c>
      <c r="B39" s="25"/>
      <c r="C39" s="25"/>
      <c r="D39" s="4" t="str">
        <f t="shared" si="9"/>
        <v xml:space="preserve"> </v>
      </c>
      <c r="E39" s="4" t="str">
        <f t="shared" si="10"/>
        <v xml:space="preserve"> </v>
      </c>
      <c r="F39" s="4" t="str">
        <f t="shared" si="11"/>
        <v xml:space="preserve"> </v>
      </c>
      <c r="G39" s="4" t="str">
        <f t="shared" si="12"/>
        <v xml:space="preserve"> </v>
      </c>
      <c r="H39" s="4" t="str">
        <f t="shared" si="13"/>
        <v xml:space="preserve"> </v>
      </c>
      <c r="I39" s="4"/>
      <c r="J39" s="4"/>
      <c r="K39" s="4" t="str">
        <f t="shared" si="14"/>
        <v xml:space="preserve"> </v>
      </c>
      <c r="L39" s="4" t="str">
        <f t="shared" si="15"/>
        <v xml:space="preserve"> </v>
      </c>
      <c r="M39" s="4" t="str">
        <f t="shared" si="16"/>
        <v xml:space="preserve"> </v>
      </c>
      <c r="N39" s="4" t="str">
        <f t="shared" si="17"/>
        <v xml:space="preserve"> 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/>
      <c r="C40" s="25"/>
      <c r="D40" s="4" t="str">
        <f t="shared" si="9"/>
        <v xml:space="preserve"> </v>
      </c>
      <c r="E40" s="4" t="str">
        <f t="shared" si="10"/>
        <v xml:space="preserve"> </v>
      </c>
      <c r="F40" s="4" t="str">
        <f t="shared" si="11"/>
        <v xml:space="preserve"> </v>
      </c>
      <c r="G40" s="4" t="str">
        <f t="shared" si="12"/>
        <v xml:space="preserve"> </v>
      </c>
      <c r="H40" s="4" t="str">
        <f t="shared" si="13"/>
        <v xml:space="preserve"> </v>
      </c>
      <c r="I40" s="4"/>
      <c r="J40" s="4"/>
      <c r="K40" s="4" t="str">
        <f t="shared" si="14"/>
        <v xml:space="preserve"> </v>
      </c>
      <c r="L40" s="4" t="str">
        <f t="shared" si="15"/>
        <v xml:space="preserve"> </v>
      </c>
      <c r="M40" s="4" t="str">
        <f t="shared" si="16"/>
        <v xml:space="preserve"> </v>
      </c>
      <c r="N40" s="4" t="str">
        <f t="shared" si="17"/>
        <v xml:space="preserve"> 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/>
      <c r="C41" s="25"/>
      <c r="D41" s="4" t="str">
        <f t="shared" si="9"/>
        <v xml:space="preserve"> </v>
      </c>
      <c r="E41" s="4" t="str">
        <f t="shared" si="10"/>
        <v xml:space="preserve"> </v>
      </c>
      <c r="F41" s="4" t="str">
        <f t="shared" si="11"/>
        <v xml:space="preserve"> </v>
      </c>
      <c r="G41" s="4" t="str">
        <f t="shared" si="12"/>
        <v xml:space="preserve"> </v>
      </c>
      <c r="H41" s="4" t="str">
        <f t="shared" si="13"/>
        <v xml:space="preserve"> </v>
      </c>
      <c r="I41" s="4"/>
      <c r="J41" s="4"/>
      <c r="K41" s="4" t="str">
        <f t="shared" si="14"/>
        <v xml:space="preserve"> </v>
      </c>
      <c r="L41" s="4" t="str">
        <f t="shared" si="15"/>
        <v xml:space="preserve"> </v>
      </c>
      <c r="M41" s="4" t="str">
        <f t="shared" si="16"/>
        <v xml:space="preserve"> </v>
      </c>
      <c r="N41" s="4" t="str">
        <f t="shared" si="17"/>
        <v xml:space="preserve"> 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/>
      <c r="C42" s="25"/>
      <c r="D42" s="4" t="str">
        <f t="shared" si="9"/>
        <v xml:space="preserve"> </v>
      </c>
      <c r="E42" s="4" t="str">
        <f t="shared" si="10"/>
        <v xml:space="preserve"> </v>
      </c>
      <c r="F42" s="4" t="str">
        <f t="shared" si="11"/>
        <v xml:space="preserve"> </v>
      </c>
      <c r="G42" s="4" t="str">
        <f t="shared" si="12"/>
        <v xml:space="preserve"> </v>
      </c>
      <c r="H42" s="4" t="str">
        <f t="shared" si="13"/>
        <v xml:space="preserve"> </v>
      </c>
      <c r="I42" s="4"/>
      <c r="J42" s="4"/>
      <c r="K42" s="4" t="str">
        <f t="shared" si="14"/>
        <v xml:space="preserve"> </v>
      </c>
      <c r="L42" s="4" t="str">
        <f t="shared" si="15"/>
        <v xml:space="preserve"> </v>
      </c>
      <c r="M42" s="4" t="str">
        <f t="shared" si="16"/>
        <v xml:space="preserve"> </v>
      </c>
      <c r="N42" s="4" t="str">
        <f t="shared" si="17"/>
        <v xml:space="preserve"> 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/>
      <c r="C43" s="25"/>
      <c r="D43" s="4" t="str">
        <f t="shared" si="9"/>
        <v xml:space="preserve"> </v>
      </c>
      <c r="E43" s="4" t="str">
        <f t="shared" si="10"/>
        <v xml:space="preserve"> </v>
      </c>
      <c r="F43" s="4" t="str">
        <f t="shared" si="11"/>
        <v xml:space="preserve"> </v>
      </c>
      <c r="G43" s="4" t="str">
        <f t="shared" si="12"/>
        <v xml:space="preserve"> </v>
      </c>
      <c r="H43" s="4" t="str">
        <f t="shared" si="13"/>
        <v xml:space="preserve"> </v>
      </c>
      <c r="I43" s="4"/>
      <c r="J43" s="4"/>
      <c r="K43" s="4" t="str">
        <f t="shared" si="14"/>
        <v xml:space="preserve"> </v>
      </c>
      <c r="L43" s="4" t="str">
        <f t="shared" si="15"/>
        <v xml:space="preserve"> </v>
      </c>
      <c r="M43" s="4" t="str">
        <f t="shared" si="16"/>
        <v xml:space="preserve"> </v>
      </c>
      <c r="N43" s="4" t="str">
        <f t="shared" si="17"/>
        <v xml:space="preserve"> 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/>
      <c r="C44" s="25"/>
      <c r="D44" s="4" t="str">
        <f t="shared" si="9"/>
        <v xml:space="preserve"> </v>
      </c>
      <c r="E44" s="4" t="str">
        <f t="shared" si="10"/>
        <v xml:space="preserve"> </v>
      </c>
      <c r="F44" s="4" t="str">
        <f t="shared" si="11"/>
        <v xml:space="preserve"> </v>
      </c>
      <c r="G44" s="4" t="str">
        <f t="shared" si="12"/>
        <v xml:space="preserve"> </v>
      </c>
      <c r="H44" s="4" t="str">
        <f t="shared" si="13"/>
        <v xml:space="preserve"> </v>
      </c>
      <c r="I44" s="4"/>
      <c r="J44" s="4"/>
      <c r="K44" s="4" t="str">
        <f t="shared" si="14"/>
        <v xml:space="preserve"> </v>
      </c>
      <c r="L44" s="4" t="str">
        <f t="shared" si="15"/>
        <v xml:space="preserve"> </v>
      </c>
      <c r="M44" s="4" t="str">
        <f t="shared" si="16"/>
        <v xml:space="preserve"> </v>
      </c>
      <c r="N44" s="4" t="str">
        <f t="shared" si="17"/>
        <v xml:space="preserve"> 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/>
      <c r="C45" s="25"/>
      <c r="D45" s="4" t="str">
        <f t="shared" si="9"/>
        <v xml:space="preserve"> </v>
      </c>
      <c r="E45" s="4" t="str">
        <f t="shared" si="10"/>
        <v xml:space="preserve"> </v>
      </c>
      <c r="F45" s="4" t="str">
        <f t="shared" si="11"/>
        <v xml:space="preserve"> </v>
      </c>
      <c r="G45" s="4" t="str">
        <f t="shared" si="12"/>
        <v xml:space="preserve"> </v>
      </c>
      <c r="H45" s="4" t="str">
        <f t="shared" si="13"/>
        <v xml:space="preserve"> </v>
      </c>
      <c r="I45" s="4"/>
      <c r="J45" s="4"/>
      <c r="K45" s="4" t="str">
        <f t="shared" si="14"/>
        <v xml:space="preserve"> </v>
      </c>
      <c r="L45" s="4" t="str">
        <f t="shared" si="15"/>
        <v xml:space="preserve"> </v>
      </c>
      <c r="M45" s="4" t="str">
        <f t="shared" si="16"/>
        <v xml:space="preserve"> </v>
      </c>
      <c r="N45" s="4" t="str">
        <f t="shared" si="17"/>
        <v xml:space="preserve"> 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/>
      <c r="C46" s="25"/>
      <c r="D46" s="4" t="str">
        <f t="shared" si="9"/>
        <v xml:space="preserve"> </v>
      </c>
      <c r="E46" s="4" t="str">
        <f t="shared" si="10"/>
        <v xml:space="preserve"> </v>
      </c>
      <c r="F46" s="4" t="str">
        <f t="shared" si="11"/>
        <v xml:space="preserve"> </v>
      </c>
      <c r="G46" s="4" t="str">
        <f t="shared" si="12"/>
        <v xml:space="preserve"> </v>
      </c>
      <c r="H46" s="4" t="str">
        <f t="shared" si="13"/>
        <v xml:space="preserve"> </v>
      </c>
      <c r="I46" s="4"/>
      <c r="J46" s="4"/>
      <c r="K46" s="4" t="str">
        <f t="shared" si="14"/>
        <v xml:space="preserve"> </v>
      </c>
      <c r="L46" s="4" t="str">
        <f t="shared" si="15"/>
        <v xml:space="preserve"> </v>
      </c>
      <c r="M46" s="4" t="str">
        <f t="shared" si="16"/>
        <v xml:space="preserve"> </v>
      </c>
      <c r="N46" s="4" t="str">
        <f t="shared" si="17"/>
        <v xml:space="preserve"> 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/>
      <c r="C47" s="25"/>
      <c r="D47" s="4" t="str">
        <f t="shared" si="9"/>
        <v xml:space="preserve"> </v>
      </c>
      <c r="E47" s="4" t="str">
        <f t="shared" si="10"/>
        <v xml:space="preserve"> </v>
      </c>
      <c r="F47" s="4" t="str">
        <f t="shared" si="11"/>
        <v xml:space="preserve"> </v>
      </c>
      <c r="G47" s="4" t="str">
        <f t="shared" si="12"/>
        <v xml:space="preserve"> </v>
      </c>
      <c r="H47" s="4" t="str">
        <f t="shared" si="13"/>
        <v xml:space="preserve"> </v>
      </c>
      <c r="I47" s="4"/>
      <c r="J47" s="4"/>
      <c r="K47" s="4" t="str">
        <f t="shared" si="14"/>
        <v xml:space="preserve"> </v>
      </c>
      <c r="L47" s="4" t="str">
        <f t="shared" si="15"/>
        <v xml:space="preserve"> </v>
      </c>
      <c r="M47" s="4" t="str">
        <f t="shared" si="16"/>
        <v xml:space="preserve"> </v>
      </c>
      <c r="N47" s="4" t="str">
        <f t="shared" si="17"/>
        <v xml:space="preserve"> 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/>
      <c r="C48" s="25"/>
      <c r="D48" s="4" t="str">
        <f t="shared" si="9"/>
        <v xml:space="preserve"> </v>
      </c>
      <c r="E48" s="4" t="str">
        <f t="shared" si="10"/>
        <v xml:space="preserve"> </v>
      </c>
      <c r="F48" s="4" t="str">
        <f t="shared" si="11"/>
        <v xml:space="preserve"> </v>
      </c>
      <c r="G48" s="4" t="str">
        <f t="shared" si="12"/>
        <v xml:space="preserve"> </v>
      </c>
      <c r="H48" s="4" t="str">
        <f t="shared" si="13"/>
        <v xml:space="preserve"> </v>
      </c>
      <c r="I48" s="4"/>
      <c r="J48" s="4"/>
      <c r="K48" s="4" t="str">
        <f t="shared" si="14"/>
        <v xml:space="preserve"> </v>
      </c>
      <c r="L48" s="4" t="str">
        <f t="shared" si="15"/>
        <v xml:space="preserve"> </v>
      </c>
      <c r="M48" s="4" t="str">
        <f t="shared" si="16"/>
        <v xml:space="preserve"> </v>
      </c>
      <c r="N48" s="4" t="str">
        <f t="shared" si="17"/>
        <v xml:space="preserve"> 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/>
      <c r="C49" s="25"/>
      <c r="D49" s="4" t="str">
        <f t="shared" si="9"/>
        <v xml:space="preserve"> </v>
      </c>
      <c r="E49" s="4" t="str">
        <f t="shared" si="10"/>
        <v xml:space="preserve"> </v>
      </c>
      <c r="F49" s="4" t="str">
        <f t="shared" si="11"/>
        <v xml:space="preserve"> </v>
      </c>
      <c r="G49" s="4" t="str">
        <f t="shared" si="12"/>
        <v xml:space="preserve"> </v>
      </c>
      <c r="H49" s="4" t="str">
        <f t="shared" si="13"/>
        <v xml:space="preserve"> </v>
      </c>
      <c r="I49" s="4"/>
      <c r="J49" s="4"/>
      <c r="K49" s="4" t="str">
        <f t="shared" si="14"/>
        <v xml:space="preserve"> </v>
      </c>
      <c r="L49" s="4" t="str">
        <f t="shared" si="15"/>
        <v xml:space="preserve"> </v>
      </c>
      <c r="M49" s="4" t="str">
        <f t="shared" si="16"/>
        <v xml:space="preserve"> </v>
      </c>
      <c r="N49" s="4" t="str">
        <f t="shared" si="17"/>
        <v xml:space="preserve"> 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/>
      <c r="C50" s="25"/>
      <c r="D50" s="4" t="str">
        <f t="shared" si="9"/>
        <v xml:space="preserve"> </v>
      </c>
      <c r="E50" s="4" t="str">
        <f t="shared" si="10"/>
        <v xml:space="preserve"> </v>
      </c>
      <c r="F50" s="4" t="str">
        <f t="shared" si="11"/>
        <v xml:space="preserve"> </v>
      </c>
      <c r="G50" s="4" t="str">
        <f t="shared" si="12"/>
        <v xml:space="preserve"> </v>
      </c>
      <c r="H50" s="4" t="str">
        <f t="shared" si="13"/>
        <v xml:space="preserve"> </v>
      </c>
      <c r="I50" s="4"/>
      <c r="J50" s="4"/>
      <c r="K50" s="4" t="str">
        <f t="shared" si="14"/>
        <v xml:space="preserve"> </v>
      </c>
      <c r="L50" s="4" t="str">
        <f t="shared" si="15"/>
        <v xml:space="preserve"> </v>
      </c>
      <c r="M50" s="4" t="str">
        <f t="shared" si="16"/>
        <v xml:space="preserve"> </v>
      </c>
      <c r="N50" s="4" t="str">
        <f t="shared" si="17"/>
        <v xml:space="preserve"> 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/>
      <c r="C51" s="25"/>
      <c r="D51" s="4" t="str">
        <f t="shared" si="9"/>
        <v xml:space="preserve"> </v>
      </c>
      <c r="E51" s="4" t="str">
        <f t="shared" si="10"/>
        <v xml:space="preserve"> </v>
      </c>
      <c r="F51" s="4" t="str">
        <f t="shared" si="11"/>
        <v xml:space="preserve"> </v>
      </c>
      <c r="G51" s="4" t="str">
        <f t="shared" si="12"/>
        <v xml:space="preserve"> </v>
      </c>
      <c r="H51" s="4" t="str">
        <f t="shared" si="13"/>
        <v xml:space="preserve"> </v>
      </c>
      <c r="I51" s="4"/>
      <c r="J51" s="4"/>
      <c r="K51" s="4" t="str">
        <f t="shared" si="14"/>
        <v xml:space="preserve"> </v>
      </c>
      <c r="L51" s="4" t="str">
        <f t="shared" si="15"/>
        <v xml:space="preserve"> </v>
      </c>
      <c r="M51" s="4" t="str">
        <f t="shared" si="16"/>
        <v xml:space="preserve"> </v>
      </c>
      <c r="N51" s="4" t="str">
        <f t="shared" si="17"/>
        <v xml:space="preserve"> 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/>
      <c r="C52" s="25"/>
      <c r="D52" s="4" t="str">
        <f t="shared" si="9"/>
        <v xml:space="preserve"> </v>
      </c>
      <c r="E52" s="4" t="str">
        <f t="shared" si="10"/>
        <v xml:space="preserve"> </v>
      </c>
      <c r="F52" s="4" t="str">
        <f t="shared" si="11"/>
        <v xml:space="preserve"> </v>
      </c>
      <c r="G52" s="4" t="str">
        <f t="shared" si="12"/>
        <v xml:space="preserve"> </v>
      </c>
      <c r="H52" s="4" t="str">
        <f t="shared" si="13"/>
        <v xml:space="preserve"> </v>
      </c>
      <c r="I52" s="4"/>
      <c r="J52" s="4"/>
      <c r="K52" s="4" t="str">
        <f t="shared" si="14"/>
        <v xml:space="preserve"> </v>
      </c>
      <c r="L52" s="4" t="str">
        <f t="shared" si="15"/>
        <v xml:space="preserve"> </v>
      </c>
      <c r="M52" s="4" t="str">
        <f t="shared" si="16"/>
        <v xml:space="preserve"> </v>
      </c>
      <c r="N52" s="4" t="str">
        <f t="shared" si="17"/>
        <v xml:space="preserve"> 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/>
      <c r="C53" s="25"/>
      <c r="D53" s="4" t="str">
        <f t="shared" si="9"/>
        <v xml:space="preserve"> </v>
      </c>
      <c r="E53" s="4" t="str">
        <f t="shared" si="10"/>
        <v xml:space="preserve"> </v>
      </c>
      <c r="F53" s="4" t="str">
        <f t="shared" si="11"/>
        <v xml:space="preserve"> </v>
      </c>
      <c r="G53" s="4" t="str">
        <f t="shared" si="12"/>
        <v xml:space="preserve"> </v>
      </c>
      <c r="H53" s="4" t="str">
        <f t="shared" si="13"/>
        <v xml:space="preserve"> </v>
      </c>
      <c r="I53" s="4"/>
      <c r="J53" s="4"/>
      <c r="K53" s="4" t="str">
        <f t="shared" si="14"/>
        <v xml:space="preserve"> </v>
      </c>
      <c r="L53" s="4" t="str">
        <f t="shared" si="15"/>
        <v xml:space="preserve"> </v>
      </c>
      <c r="M53" s="4" t="str">
        <f t="shared" si="16"/>
        <v xml:space="preserve"> </v>
      </c>
      <c r="N53" s="4" t="str">
        <f t="shared" si="17"/>
        <v xml:space="preserve"> 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/>
      <c r="C54" s="25"/>
      <c r="D54" s="4" t="str">
        <f t="shared" si="9"/>
        <v xml:space="preserve"> </v>
      </c>
      <c r="E54" s="4" t="str">
        <f t="shared" si="10"/>
        <v xml:space="preserve"> </v>
      </c>
      <c r="F54" s="4" t="str">
        <f t="shared" si="11"/>
        <v xml:space="preserve"> </v>
      </c>
      <c r="G54" s="4" t="str">
        <f t="shared" si="12"/>
        <v xml:space="preserve"> </v>
      </c>
      <c r="H54" s="4" t="str">
        <f t="shared" si="13"/>
        <v xml:space="preserve"> </v>
      </c>
      <c r="I54" s="4"/>
      <c r="J54" s="4"/>
      <c r="K54" s="4" t="str">
        <f t="shared" si="14"/>
        <v xml:space="preserve"> </v>
      </c>
      <c r="L54" s="4" t="str">
        <f t="shared" si="15"/>
        <v xml:space="preserve"> </v>
      </c>
      <c r="M54" s="4" t="str">
        <f t="shared" si="16"/>
        <v xml:space="preserve"> </v>
      </c>
      <c r="N54" s="4" t="str">
        <f t="shared" si="17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/>
      <c r="C55" s="25"/>
      <c r="D55" s="4" t="str">
        <f t="shared" si="9"/>
        <v xml:space="preserve"> </v>
      </c>
      <c r="E55" s="4" t="str">
        <f t="shared" si="10"/>
        <v xml:space="preserve"> </v>
      </c>
      <c r="F55" s="4" t="str">
        <f t="shared" si="11"/>
        <v xml:space="preserve"> </v>
      </c>
      <c r="G55" s="4" t="str">
        <f t="shared" si="12"/>
        <v xml:space="preserve"> </v>
      </c>
      <c r="H55" s="4" t="str">
        <f t="shared" si="13"/>
        <v xml:space="preserve"> </v>
      </c>
      <c r="I55" s="4"/>
      <c r="J55" s="4"/>
      <c r="K55" s="4" t="str">
        <f t="shared" si="14"/>
        <v xml:space="preserve"> </v>
      </c>
      <c r="L55" s="4" t="str">
        <f t="shared" si="15"/>
        <v xml:space="preserve"> </v>
      </c>
      <c r="M55" s="4" t="str">
        <f t="shared" si="16"/>
        <v xml:space="preserve"> </v>
      </c>
      <c r="N55" s="4" t="str">
        <f t="shared" si="17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/>
      <c r="C56" s="25"/>
      <c r="D56" s="4" t="str">
        <f t="shared" si="9"/>
        <v xml:space="preserve"> </v>
      </c>
      <c r="E56" s="4" t="str">
        <f t="shared" si="10"/>
        <v xml:space="preserve"> </v>
      </c>
      <c r="F56" s="4" t="str">
        <f t="shared" si="11"/>
        <v xml:space="preserve"> </v>
      </c>
      <c r="G56" s="4" t="str">
        <f t="shared" si="12"/>
        <v xml:space="preserve"> </v>
      </c>
      <c r="H56" s="4" t="str">
        <f t="shared" si="13"/>
        <v xml:space="preserve"> </v>
      </c>
      <c r="I56" s="4"/>
      <c r="J56" s="4"/>
      <c r="K56" s="4" t="str">
        <f t="shared" si="14"/>
        <v xml:space="preserve"> </v>
      </c>
      <c r="L56" s="4" t="str">
        <f t="shared" si="15"/>
        <v xml:space="preserve"> </v>
      </c>
      <c r="M56" s="4" t="str">
        <f t="shared" si="16"/>
        <v xml:space="preserve"> </v>
      </c>
      <c r="N56" s="4" t="str">
        <f t="shared" si="17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/>
      <c r="C57" s="25"/>
      <c r="D57" s="4" t="str">
        <f t="shared" si="9"/>
        <v xml:space="preserve"> </v>
      </c>
      <c r="E57" s="4" t="str">
        <f t="shared" si="10"/>
        <v xml:space="preserve"> </v>
      </c>
      <c r="F57" s="4" t="str">
        <f t="shared" si="11"/>
        <v xml:space="preserve"> </v>
      </c>
      <c r="G57" s="4" t="str">
        <f t="shared" si="12"/>
        <v xml:space="preserve"> </v>
      </c>
      <c r="H57" s="4" t="str">
        <f t="shared" si="13"/>
        <v xml:space="preserve"> </v>
      </c>
      <c r="I57" s="4"/>
      <c r="J57" s="4"/>
      <c r="K57" s="4" t="str">
        <f t="shared" si="14"/>
        <v xml:space="preserve"> </v>
      </c>
      <c r="L57" s="4" t="str">
        <f t="shared" si="15"/>
        <v xml:space="preserve"> </v>
      </c>
      <c r="M57" s="4" t="str">
        <f t="shared" si="16"/>
        <v xml:space="preserve"> </v>
      </c>
      <c r="N57" s="4" t="str">
        <f t="shared" si="17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/>
      <c r="C58" s="25"/>
      <c r="D58" s="4" t="str">
        <f t="shared" si="9"/>
        <v xml:space="preserve"> </v>
      </c>
      <c r="E58" s="4" t="str">
        <f t="shared" si="10"/>
        <v xml:space="preserve"> </v>
      </c>
      <c r="F58" s="4" t="str">
        <f t="shared" si="11"/>
        <v xml:space="preserve"> </v>
      </c>
      <c r="G58" s="4" t="str">
        <f t="shared" si="12"/>
        <v xml:space="preserve"> </v>
      </c>
      <c r="H58" s="4" t="str">
        <f t="shared" si="13"/>
        <v xml:space="preserve"> </v>
      </c>
      <c r="I58" s="4"/>
      <c r="J58" s="4"/>
      <c r="K58" s="4" t="str">
        <f t="shared" si="14"/>
        <v xml:space="preserve"> </v>
      </c>
      <c r="L58" s="4" t="str">
        <f t="shared" si="15"/>
        <v xml:space="preserve"> </v>
      </c>
      <c r="M58" s="4" t="str">
        <f t="shared" si="16"/>
        <v xml:space="preserve"> </v>
      </c>
      <c r="N58" s="4" t="str">
        <f t="shared" si="17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/>
      <c r="C59" s="25"/>
      <c r="D59" s="4" t="str">
        <f t="shared" si="9"/>
        <v xml:space="preserve"> </v>
      </c>
      <c r="E59" s="4" t="str">
        <f t="shared" si="10"/>
        <v xml:space="preserve"> </v>
      </c>
      <c r="F59" s="4" t="str">
        <f t="shared" si="11"/>
        <v xml:space="preserve"> </v>
      </c>
      <c r="G59" s="4" t="str">
        <f t="shared" si="12"/>
        <v xml:space="preserve"> </v>
      </c>
      <c r="H59" s="4" t="str">
        <f t="shared" si="13"/>
        <v xml:space="preserve"> </v>
      </c>
      <c r="I59" s="4"/>
      <c r="J59" s="4"/>
      <c r="K59" s="4" t="str">
        <f t="shared" si="14"/>
        <v xml:space="preserve"> </v>
      </c>
      <c r="L59" s="4" t="str">
        <f t="shared" si="15"/>
        <v xml:space="preserve"> </v>
      </c>
      <c r="M59" s="4" t="str">
        <f t="shared" si="16"/>
        <v xml:space="preserve"> </v>
      </c>
      <c r="N59" s="4" t="str">
        <f t="shared" si="17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9"/>
        <v xml:space="preserve"> </v>
      </c>
      <c r="E60" s="4" t="str">
        <f t="shared" si="10"/>
        <v xml:space="preserve"> </v>
      </c>
      <c r="F60" s="4" t="str">
        <f t="shared" si="11"/>
        <v xml:space="preserve"> </v>
      </c>
      <c r="G60" s="4" t="str">
        <f t="shared" si="12"/>
        <v xml:space="preserve"> </v>
      </c>
      <c r="H60" s="4" t="str">
        <f t="shared" si="13"/>
        <v xml:space="preserve"> </v>
      </c>
      <c r="I60" s="4"/>
      <c r="J60" s="4"/>
      <c r="K60" s="4" t="str">
        <f t="shared" si="14"/>
        <v xml:space="preserve"> </v>
      </c>
      <c r="L60" s="4" t="str">
        <f t="shared" si="15"/>
        <v xml:space="preserve"> </v>
      </c>
      <c r="M60" s="4" t="str">
        <f t="shared" si="16"/>
        <v xml:space="preserve"> </v>
      </c>
      <c r="N60" s="4" t="str">
        <f t="shared" si="17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9"/>
        <v xml:space="preserve"> </v>
      </c>
      <c r="E61" s="7" t="str">
        <f t="shared" si="10"/>
        <v xml:space="preserve"> </v>
      </c>
      <c r="F61" s="7" t="str">
        <f t="shared" si="11"/>
        <v xml:space="preserve"> </v>
      </c>
      <c r="G61" s="7" t="str">
        <f t="shared" si="12"/>
        <v xml:space="preserve"> </v>
      </c>
      <c r="H61" s="7" t="str">
        <f t="shared" si="13"/>
        <v xml:space="preserve"> </v>
      </c>
      <c r="I61" s="7"/>
      <c r="J61" s="7"/>
      <c r="K61" s="7" t="str">
        <f t="shared" si="14"/>
        <v xml:space="preserve"> </v>
      </c>
      <c r="L61" s="7" t="str">
        <f t="shared" si="15"/>
        <v xml:space="preserve"> </v>
      </c>
      <c r="M61" s="7" t="str">
        <f t="shared" si="16"/>
        <v xml:space="preserve"> </v>
      </c>
      <c r="N61" s="7" t="str">
        <f t="shared" si="1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AC115"/>
  <sheetViews>
    <sheetView topLeftCell="A122" zoomScale="70" zoomScaleNormal="70" workbookViewId="0">
      <selection activeCell="AI171" sqref="AI171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8" ht="46.5" thickBot="1">
      <c r="B1" s="106" t="s">
        <v>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8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9"/>
      <c r="H2" s="29"/>
      <c r="I2" s="107" t="s">
        <v>23</v>
      </c>
      <c r="J2" s="10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8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8" ht="18.75">
      <c r="B4" s="21" t="s">
        <v>47</v>
      </c>
      <c r="C4" s="21">
        <v>270</v>
      </c>
      <c r="D4" s="21"/>
      <c r="E4" s="21"/>
      <c r="F4" s="21"/>
      <c r="I4" s="16">
        <f>(I12+I38+I64+I90)/4</f>
        <v>81.948792971323712</v>
      </c>
      <c r="J4" s="17">
        <f>(J12+J38+J64+J90)/4</f>
        <v>-33.668475677188468</v>
      </c>
    </row>
    <row r="5" spans="1:28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 t="s">
        <v>81</v>
      </c>
      <c r="G5" s="22" t="s">
        <v>82</v>
      </c>
      <c r="I5" s="18" t="s">
        <v>36</v>
      </c>
      <c r="J5" s="19" t="s">
        <v>21</v>
      </c>
    </row>
    <row r="6" spans="1:28">
      <c r="B6" s="111"/>
      <c r="C6" s="22">
        <f>D6+F6+E6+G6</f>
        <v>76</v>
      </c>
      <c r="D6" s="22">
        <v>22</v>
      </c>
      <c r="E6" s="22">
        <v>16</v>
      </c>
      <c r="F6" s="22">
        <v>16</v>
      </c>
      <c r="G6" s="22">
        <v>22</v>
      </c>
    </row>
    <row r="9" spans="1:28" ht="15.75" thickBot="1"/>
    <row r="10" spans="1:28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8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8">
      <c r="A12" s="3">
        <v>1</v>
      </c>
      <c r="B12" s="25">
        <v>262.3</v>
      </c>
      <c r="C12" s="25">
        <v>120</v>
      </c>
      <c r="D12" s="4">
        <f>IF(B12,B12-$C$4," ")</f>
        <v>-7.6999999999999886</v>
      </c>
      <c r="E12" s="4">
        <f>IF(B12,INT(D12)," ")</f>
        <v>-8</v>
      </c>
      <c r="F12" s="4">
        <f>IF(B12,((D12-E12)/60*100)," ")</f>
        <v>0.50000000000001887</v>
      </c>
      <c r="G12" s="4">
        <f>IF(B12,C12*COS(PI()/180*(E12+F12))," ")</f>
        <v>118.97338336485726</v>
      </c>
      <c r="H12" s="4">
        <f>IF(B12,(C12*SIN(PI()/180*(E12+F12)))," ")</f>
        <v>-15.663143066406152</v>
      </c>
      <c r="I12" s="4">
        <f>SUM(G12:G35)/D6</f>
        <v>116.14276367556954</v>
      </c>
      <c r="J12" s="4">
        <f>SUM(H12:H35)/D6</f>
        <v>19.205125943233828</v>
      </c>
      <c r="K12" s="4">
        <f>IF(B12,SUM(G12,-$I$12)," ")</f>
        <v>2.8306196892877153</v>
      </c>
      <c r="L12" s="4">
        <f>IF(B12,SUM(H12,-$J$12)," ")</f>
        <v>-34.868269009639981</v>
      </c>
      <c r="M12" s="4">
        <f>IF(B12,POWER(K12,2)," ")</f>
        <v>8.0124078253832813</v>
      </c>
      <c r="N12" s="4">
        <f>IF(B12,POWER(L12,2)," ")</f>
        <v>1215.79618372862</v>
      </c>
      <c r="O12" s="4">
        <f>D6-1</f>
        <v>21</v>
      </c>
      <c r="P12" s="4">
        <f>SUM(M12:M35)</f>
        <v>6912.2007061310605</v>
      </c>
      <c r="Q12" s="4">
        <f>SUM(N12:N35)</f>
        <v>8552.2741265861969</v>
      </c>
      <c r="R12" s="4">
        <f>PRODUCT(P12,1/$O$12)</f>
        <v>329.1524145776695</v>
      </c>
      <c r="S12" s="4">
        <f>PRODUCT(Q12,1/$O$12)</f>
        <v>407.25114888505698</v>
      </c>
      <c r="T12" s="4">
        <f>SQRT(R12)</f>
        <v>18.142558104569197</v>
      </c>
      <c r="U12" s="4">
        <f>SQRT(S12)</f>
        <v>20.18046453590841</v>
      </c>
      <c r="V12" s="4">
        <f>PRODUCT(T12:U12)</f>
        <v>366.12525041991637</v>
      </c>
      <c r="W12" s="10">
        <f>SQRT(V12)</f>
        <v>19.134399661863352</v>
      </c>
    </row>
    <row r="13" spans="1:28">
      <c r="A13" s="3">
        <v>2</v>
      </c>
      <c r="B13" s="25">
        <v>269.3</v>
      </c>
      <c r="C13" s="25">
        <v>160</v>
      </c>
      <c r="D13" s="4">
        <f>IF(B13,B13-$C$4," ")</f>
        <v>-0.69999999999998863</v>
      </c>
      <c r="E13" s="4">
        <f>IF(B13,INT(D13)," ")</f>
        <v>-1</v>
      </c>
      <c r="F13" s="4">
        <f>IF(B13,((D13-E13)/60*100)," ")</f>
        <v>0.50000000000001887</v>
      </c>
      <c r="G13" s="4">
        <f>IF(B13,C13*COS(PI()/180*(E13+F13))," ")</f>
        <v>159.99390769026741</v>
      </c>
      <c r="H13" s="4">
        <f>IF(B13,(C13*SIN(PI()/180*(E13+F13)))," ")</f>
        <v>-1.3962456797397769</v>
      </c>
      <c r="I13" s="4"/>
      <c r="J13" s="4"/>
      <c r="K13" s="4">
        <f t="shared" ref="K13:K35" si="0">IF(B13,SUM(G13,-$I$12)," ")</f>
        <v>43.851144014697866</v>
      </c>
      <c r="L13" s="4">
        <f t="shared" ref="L13:L35" si="1">IF(B13,SUM(H13,-$J$12)," ")</f>
        <v>-20.601371622973605</v>
      </c>
      <c r="M13" s="4">
        <f t="shared" ref="M13:M35" si="2">IF(B13,POWER(K13,2)," ")</f>
        <v>1922.9228313977724</v>
      </c>
      <c r="N13" s="4">
        <f t="shared" ref="N13:N34" si="3">IF(B13,POWER(L13,2)," ")</f>
        <v>424.4165127478621</v>
      </c>
      <c r="O13" s="4"/>
      <c r="P13" s="4"/>
      <c r="Q13" s="4"/>
      <c r="R13" s="4"/>
      <c r="S13" s="4"/>
      <c r="T13" s="4"/>
      <c r="U13" s="4"/>
      <c r="V13" s="4"/>
      <c r="W13" s="5"/>
      <c r="AA13" s="25">
        <v>262.3</v>
      </c>
      <c r="AB13" s="25">
        <v>120</v>
      </c>
    </row>
    <row r="14" spans="1:28">
      <c r="A14" s="3">
        <v>3</v>
      </c>
      <c r="B14" s="25">
        <v>289.05</v>
      </c>
      <c r="C14" s="25">
        <v>106</v>
      </c>
      <c r="D14" s="4">
        <f>IF(B14,B14-$C$4," ")</f>
        <v>19.050000000000011</v>
      </c>
      <c r="E14" s="4">
        <f>IF(B14,INT(D14)," ")</f>
        <v>19</v>
      </c>
      <c r="F14" s="4">
        <f>IF(B14,((D14-E14)/60*100)," ")</f>
        <v>8.3333333333352286E-2</v>
      </c>
      <c r="G14" s="4">
        <f>IF(B14,C14*COS(PI()/180*(E14+F14))," ")</f>
        <v>100.17466993661385</v>
      </c>
      <c r="H14" s="4">
        <f>IF(B14,(C14*SIN(PI()/180*(E14+F14)))," ")</f>
        <v>34.65595912812789</v>
      </c>
      <c r="I14" s="4"/>
      <c r="J14" s="4"/>
      <c r="K14" s="4">
        <f t="shared" si="0"/>
        <v>-15.968093738955687</v>
      </c>
      <c r="L14" s="4">
        <f t="shared" si="1"/>
        <v>15.450833184894062</v>
      </c>
      <c r="M14" s="4">
        <f t="shared" si="2"/>
        <v>254.98001765607583</v>
      </c>
      <c r="N14" s="4">
        <f t="shared" si="3"/>
        <v>238.72824610742359</v>
      </c>
      <c r="O14" s="4"/>
      <c r="P14" s="4"/>
      <c r="Q14" s="4"/>
      <c r="R14" s="4"/>
      <c r="S14" s="4"/>
      <c r="T14" s="4"/>
      <c r="U14" s="4"/>
      <c r="V14" s="4"/>
      <c r="W14" s="5"/>
      <c r="AA14" s="25">
        <v>269.3</v>
      </c>
      <c r="AB14" s="25">
        <v>160</v>
      </c>
    </row>
    <row r="15" spans="1:28">
      <c r="A15" s="3">
        <v>4</v>
      </c>
      <c r="B15" s="25">
        <v>279.39999999999998</v>
      </c>
      <c r="C15" s="25">
        <v>102</v>
      </c>
      <c r="D15" s="4">
        <f>IF(B15,B15-$C$4," ")</f>
        <v>9.3999999999999773</v>
      </c>
      <c r="E15" s="4">
        <f>IF(B15,INT(D15)," ")</f>
        <v>9</v>
      </c>
      <c r="F15" s="4">
        <f>IF(B15,((D15-E15)/60*100)," ")</f>
        <v>0.66666666666662877</v>
      </c>
      <c r="G15" s="4">
        <f>IF(B15,C15*COS(PI()/180*(E15+F15))," ")</f>
        <v>100.5517351926829</v>
      </c>
      <c r="H15" s="4">
        <f>IF(B15,(C15*SIN(PI()/180*(E15+F15)))," ")</f>
        <v>17.127420989179196</v>
      </c>
      <c r="I15" s="4"/>
      <c r="J15" s="4"/>
      <c r="K15" s="4">
        <f t="shared" si="0"/>
        <v>-15.591028482886642</v>
      </c>
      <c r="L15" s="4">
        <f t="shared" si="1"/>
        <v>-2.0777049540546315</v>
      </c>
      <c r="M15" s="4">
        <f t="shared" si="2"/>
        <v>243.08016915418256</v>
      </c>
      <c r="N15" s="4">
        <f t="shared" si="3"/>
        <v>4.3168578761031586</v>
      </c>
      <c r="O15" s="4"/>
      <c r="P15" s="4"/>
      <c r="Q15" s="4"/>
      <c r="R15" s="4"/>
      <c r="S15" s="4"/>
      <c r="T15" s="4"/>
      <c r="U15" s="4"/>
      <c r="V15" s="4"/>
      <c r="W15" s="5"/>
      <c r="AA15" s="25"/>
      <c r="AB15" s="25"/>
    </row>
    <row r="16" spans="1:28">
      <c r="A16" s="3">
        <v>5</v>
      </c>
      <c r="B16" s="25">
        <v>285.2</v>
      </c>
      <c r="C16" s="25">
        <v>106</v>
      </c>
      <c r="D16" s="4">
        <f>IF(B16,B16-$C$4," ")</f>
        <v>15.199999999999989</v>
      </c>
      <c r="E16" s="4">
        <f>IF(B16,INT(D16)," ")</f>
        <v>15</v>
      </c>
      <c r="F16" s="4">
        <f>IF(B16,((D16-E16)/60*100)," ")</f>
        <v>0.33333333333331439</v>
      </c>
      <c r="G16" s="4">
        <f>IF(B16,C16*COS(PI()/180*(E16+F16))," ")</f>
        <v>102.22679645218354</v>
      </c>
      <c r="H16" s="4">
        <f>IF(B16,(C16*SIN(PI()/180*(E16+F16)))," ")</f>
        <v>28.030021175943403</v>
      </c>
      <c r="I16" s="4"/>
      <c r="J16" s="4"/>
      <c r="K16" s="4">
        <f t="shared" si="0"/>
        <v>-13.915967223386005</v>
      </c>
      <c r="L16" s="4">
        <f t="shared" si="1"/>
        <v>8.8248952327095758</v>
      </c>
      <c r="M16" s="4">
        <f t="shared" si="2"/>
        <v>193.65414376235358</v>
      </c>
      <c r="N16" s="4">
        <f t="shared" si="3"/>
        <v>77.878775868300195</v>
      </c>
      <c r="O16" s="4"/>
      <c r="P16" s="4"/>
      <c r="Q16" s="4"/>
      <c r="R16" s="4"/>
      <c r="S16" s="4"/>
      <c r="T16" s="4"/>
      <c r="U16" s="4"/>
      <c r="V16" s="4"/>
      <c r="W16" s="5"/>
      <c r="AA16" s="25"/>
      <c r="AB16" s="25"/>
    </row>
    <row r="17" spans="1:28">
      <c r="A17" s="3">
        <v>6</v>
      </c>
      <c r="B17" s="25">
        <v>273.05</v>
      </c>
      <c r="C17" s="25">
        <v>104</v>
      </c>
      <c r="D17" s="4">
        <f>IF(B17,B17-$C$4," ")</f>
        <v>3.0500000000000114</v>
      </c>
      <c r="E17" s="4">
        <f>IF(B17,INT(D17)," ")</f>
        <v>3</v>
      </c>
      <c r="F17" s="4">
        <f>IF(B17,((D17-E17)/60*100)," ")</f>
        <v>8.3333333333352286E-2</v>
      </c>
      <c r="G17" s="4">
        <f>IF(B17,C17*COS(PI()/180*(E17+F17))," ")</f>
        <v>103.84944533277201</v>
      </c>
      <c r="H17" s="4">
        <f>IF(B17,(C17*SIN(PI()/180*(E17+F17)))," ")</f>
        <v>5.5939882083892183</v>
      </c>
      <c r="I17" s="4"/>
      <c r="J17" s="4"/>
      <c r="K17" s="4">
        <f t="shared" si="0"/>
        <v>-12.293318342797534</v>
      </c>
      <c r="L17" s="4">
        <f t="shared" si="1"/>
        <v>-13.611137734844609</v>
      </c>
      <c r="M17" s="4">
        <f t="shared" si="2"/>
        <v>151.12567587736231</v>
      </c>
      <c r="N17" s="4">
        <f t="shared" si="3"/>
        <v>185.26307043691085</v>
      </c>
      <c r="O17" s="4"/>
      <c r="P17" s="4"/>
      <c r="Q17" s="4"/>
      <c r="R17" s="4"/>
      <c r="S17" s="4"/>
      <c r="T17" s="4"/>
      <c r="U17" s="4"/>
      <c r="V17" s="4"/>
      <c r="W17" s="5"/>
      <c r="AA17" s="25"/>
      <c r="AB17" s="25"/>
    </row>
    <row r="18" spans="1:28">
      <c r="A18" s="3">
        <v>7</v>
      </c>
      <c r="B18" s="25">
        <v>275.2</v>
      </c>
      <c r="C18" s="25">
        <v>106</v>
      </c>
      <c r="D18" s="4">
        <f>IF(B18,B18-$C$4," ")</f>
        <v>5.1999999999999886</v>
      </c>
      <c r="E18" s="4">
        <f>IF(B18,INT(D18)," ")</f>
        <v>5</v>
      </c>
      <c r="F18" s="4">
        <f>IF(B18,((D18-E18)/60*100)," ")</f>
        <v>0.33333333333331439</v>
      </c>
      <c r="G18" s="4">
        <f>IF(B18,C18*COS(PI()/180*(E18+F18))," ")</f>
        <v>105.54110380887927</v>
      </c>
      <c r="H18" s="4">
        <f>IF(B18,(C18*SIN(PI()/180*(E18+F18)))," ")</f>
        <v>9.8526852585155389</v>
      </c>
      <c r="I18" s="4"/>
      <c r="J18" s="4"/>
      <c r="K18" s="4">
        <f t="shared" si="0"/>
        <v>-10.601659866690269</v>
      </c>
      <c r="L18" s="4">
        <f t="shared" si="1"/>
        <v>-9.3524406847182888</v>
      </c>
      <c r="M18" s="4">
        <f t="shared" si="2"/>
        <v>112.39519192899114</v>
      </c>
      <c r="N18" s="4">
        <f t="shared" si="3"/>
        <v>87.468146761173898</v>
      </c>
      <c r="O18" s="4"/>
      <c r="P18" s="4"/>
      <c r="Q18" s="4"/>
      <c r="R18" s="4"/>
      <c r="S18" s="4"/>
      <c r="T18" s="4"/>
      <c r="U18" s="4"/>
      <c r="V18" s="4"/>
      <c r="W18" s="5"/>
      <c r="AA18" s="25"/>
      <c r="AB18" s="25"/>
    </row>
    <row r="19" spans="1:28">
      <c r="A19" s="3">
        <v>8</v>
      </c>
      <c r="B19" s="25">
        <v>264.45</v>
      </c>
      <c r="C19" s="25">
        <v>106</v>
      </c>
      <c r="D19" s="4">
        <f>IF(B19,B19-$C$4," ")</f>
        <v>-5.5500000000000114</v>
      </c>
      <c r="E19" s="4">
        <f>IF(B19,INT(D19)," ")</f>
        <v>-6</v>
      </c>
      <c r="F19" s="4">
        <f>IF(B19,((D19-E19)/60*100)," ")</f>
        <v>0.74999999999998102</v>
      </c>
      <c r="G19" s="4">
        <f>IF(B19,C19*COS(PI()/180*(E19+F19))," ")</f>
        <v>105.55532232291414</v>
      </c>
      <c r="H19" s="4">
        <f>IF(B19,(C19*SIN(PI()/180*(E19+F19)))," ")</f>
        <v>-9.6991715783206871</v>
      </c>
      <c r="I19" s="4"/>
      <c r="J19" s="4"/>
      <c r="K19" s="4">
        <f t="shared" si="0"/>
        <v>-10.587441352655404</v>
      </c>
      <c r="L19" s="4">
        <f t="shared" si="1"/>
        <v>-28.904297521554515</v>
      </c>
      <c r="M19" s="4">
        <f t="shared" si="2"/>
        <v>112.09391439591768</v>
      </c>
      <c r="N19" s="4">
        <f t="shared" si="3"/>
        <v>835.45841521454247</v>
      </c>
      <c r="O19" s="4"/>
      <c r="P19" s="4"/>
      <c r="Q19" s="4"/>
      <c r="R19" s="4"/>
      <c r="S19" s="4"/>
      <c r="T19" s="4"/>
      <c r="U19" s="4"/>
      <c r="V19" s="4"/>
      <c r="W19" s="5"/>
      <c r="AA19" s="25"/>
      <c r="AB19" s="25"/>
    </row>
    <row r="20" spans="1:28">
      <c r="A20" s="3">
        <v>9</v>
      </c>
      <c r="B20" s="25">
        <v>275.35000000000002</v>
      </c>
      <c r="C20" s="25">
        <v>108</v>
      </c>
      <c r="D20" s="4">
        <f>IF(B20,B20-$C$4," ")</f>
        <v>5.3500000000000227</v>
      </c>
      <c r="E20" s="4">
        <f>IF(B20,INT(D20)," ")</f>
        <v>5</v>
      </c>
      <c r="F20" s="4">
        <f>IF(B20,((D20-E20)/60*100)," ")</f>
        <v>0.58333333333337123</v>
      </c>
      <c r="G20" s="4">
        <f>IF(B20,C20*COS(PI()/180*(E20+F20))," ")</f>
        <v>107.48762030775052</v>
      </c>
      <c r="H20" s="4">
        <f>IF(B20,(C20*SIN(PI()/180*(E20+F20)))," ")</f>
        <v>10.507686737663041</v>
      </c>
      <c r="I20" s="4"/>
      <c r="J20" s="4"/>
      <c r="K20" s="4">
        <f t="shared" si="0"/>
        <v>-8.6551433678190222</v>
      </c>
      <c r="L20" s="4">
        <f t="shared" si="1"/>
        <v>-8.6974392055707863</v>
      </c>
      <c r="M20" s="4">
        <f t="shared" si="2"/>
        <v>74.911506717501609</v>
      </c>
      <c r="N20" s="4">
        <f t="shared" si="3"/>
        <v>75.645448734599796</v>
      </c>
      <c r="O20" s="4"/>
      <c r="P20" s="4"/>
      <c r="Q20" s="4"/>
      <c r="R20" s="4"/>
      <c r="S20" s="4"/>
      <c r="T20" s="4"/>
      <c r="U20" s="4"/>
      <c r="V20" s="4"/>
      <c r="W20" s="5"/>
      <c r="AA20" s="25"/>
      <c r="AB20" s="25"/>
    </row>
    <row r="21" spans="1:28">
      <c r="A21" s="3">
        <v>10</v>
      </c>
      <c r="B21" s="25">
        <v>279.45</v>
      </c>
      <c r="C21" s="25">
        <v>116</v>
      </c>
      <c r="D21" s="4">
        <f>IF(B21,B21-$C$4," ")</f>
        <v>9.4499999999999886</v>
      </c>
      <c r="E21" s="4">
        <f>IF(B21,INT(D21)," ")</f>
        <v>9</v>
      </c>
      <c r="F21" s="4">
        <f>IF(B21,((D21-E21)/60*100)," ")</f>
        <v>0.74999999999998102</v>
      </c>
      <c r="G21" s="4">
        <f>IF(B21,C21*COS(PI()/180*(E21+F21))," ")</f>
        <v>114.32450285073702</v>
      </c>
      <c r="H21" s="4">
        <f>IF(B21,(C21*SIN(PI()/180*(E21+F21)))," ")</f>
        <v>19.644542446486817</v>
      </c>
      <c r="I21" s="4"/>
      <c r="J21" s="4"/>
      <c r="K21" s="4">
        <f t="shared" si="0"/>
        <v>-1.8182608248325209</v>
      </c>
      <c r="L21" s="4">
        <f t="shared" si="1"/>
        <v>0.43941650325298909</v>
      </c>
      <c r="M21" s="4">
        <f t="shared" si="2"/>
        <v>3.3060724271206392</v>
      </c>
      <c r="N21" s="4">
        <f t="shared" si="3"/>
        <v>0.19308686333108416</v>
      </c>
      <c r="O21" s="4"/>
      <c r="P21" s="4"/>
      <c r="Q21" s="4"/>
      <c r="R21" s="4"/>
      <c r="S21" s="4"/>
      <c r="T21" s="4"/>
      <c r="U21" s="4"/>
      <c r="V21" s="4"/>
      <c r="W21" s="5"/>
      <c r="AA21" s="25"/>
      <c r="AB21" s="25"/>
    </row>
    <row r="22" spans="1:28">
      <c r="A22" s="3">
        <v>11</v>
      </c>
      <c r="B22" s="25">
        <v>279.10000000000002</v>
      </c>
      <c r="C22" s="25">
        <v>116</v>
      </c>
      <c r="D22" s="4">
        <f>IF(B22,B22-$C$4," ")</f>
        <v>9.1000000000000227</v>
      </c>
      <c r="E22" s="4">
        <f>IF(B22,INT(D22)," ")</f>
        <v>9</v>
      </c>
      <c r="F22" s="4">
        <f>IF(B22,((D22-E22)/60*100)," ")</f>
        <v>0.16666666666670457</v>
      </c>
      <c r="G22" s="4">
        <f>IF(B22,C22*COS(PI()/180*(E22+F22))," ")</f>
        <v>114.51857712161538</v>
      </c>
      <c r="H22" s="4">
        <f>IF(B22,(C22*SIN(PI()/180*(E22+F22)))," ")</f>
        <v>18.479596695832697</v>
      </c>
      <c r="I22" s="4"/>
      <c r="J22" s="4"/>
      <c r="K22" s="4">
        <f t="shared" si="0"/>
        <v>-1.6241865539541607</v>
      </c>
      <c r="L22" s="4">
        <f t="shared" si="1"/>
        <v>-0.72552924740113056</v>
      </c>
      <c r="M22" s="4">
        <f t="shared" si="2"/>
        <v>2.6379819620454916</v>
      </c>
      <c r="N22" s="4">
        <f t="shared" si="3"/>
        <v>0.52639268883445089</v>
      </c>
      <c r="O22" s="4"/>
      <c r="P22" s="4"/>
      <c r="Q22" s="4"/>
      <c r="R22" s="4"/>
      <c r="S22" s="4"/>
      <c r="T22" s="4"/>
      <c r="U22" s="4"/>
      <c r="V22" s="4"/>
      <c r="W22" s="5"/>
      <c r="AA22" s="25"/>
      <c r="AB22" s="25"/>
    </row>
    <row r="23" spans="1:28">
      <c r="A23" s="3">
        <v>12</v>
      </c>
      <c r="B23" s="25">
        <v>282.05</v>
      </c>
      <c r="C23" s="25">
        <v>128</v>
      </c>
      <c r="D23" s="4">
        <f>IF(B23,B23-$C$4," ")</f>
        <v>12.050000000000011</v>
      </c>
      <c r="E23" s="4">
        <f>IF(B23,INT(D23)," ")</f>
        <v>12</v>
      </c>
      <c r="F23" s="4">
        <f>IF(B23,((D23-E23)/60*100)," ")</f>
        <v>8.3333333333352286E-2</v>
      </c>
      <c r="G23" s="4">
        <f>IF(B23,C23*COS(PI()/180*(E23+F23))," ")</f>
        <v>125.16405388262194</v>
      </c>
      <c r="H23" s="4">
        <f>IF(B23,(C23*SIN(PI()/180*(E23+F23)))," ")</f>
        <v>26.794768438411822</v>
      </c>
      <c r="I23" s="4"/>
      <c r="J23" s="4"/>
      <c r="K23" s="4">
        <f t="shared" si="0"/>
        <v>9.0212902070524024</v>
      </c>
      <c r="L23" s="4">
        <f t="shared" si="1"/>
        <v>7.5896424951779942</v>
      </c>
      <c r="M23" s="4">
        <f t="shared" si="2"/>
        <v>81.383676999859574</v>
      </c>
      <c r="N23" s="4">
        <f t="shared" si="3"/>
        <v>57.602673204611648</v>
      </c>
      <c r="O23" s="4"/>
      <c r="P23" s="4"/>
      <c r="Q23" s="4"/>
      <c r="R23" s="4"/>
      <c r="S23" s="4"/>
      <c r="T23" s="4"/>
      <c r="U23" s="4"/>
      <c r="V23" s="4"/>
      <c r="W23" s="5"/>
      <c r="AA23" s="25"/>
      <c r="AB23" s="25"/>
    </row>
    <row r="24" spans="1:28">
      <c r="A24" s="3">
        <v>13</v>
      </c>
      <c r="B24" s="25">
        <v>279.45</v>
      </c>
      <c r="C24" s="25">
        <v>128</v>
      </c>
      <c r="D24" s="4">
        <f>IF(B24,B24-$C$4," ")</f>
        <v>9.4499999999999886</v>
      </c>
      <c r="E24" s="4">
        <f>IF(B24,INT(D24)," ")</f>
        <v>9</v>
      </c>
      <c r="F24" s="4">
        <f>IF(B24,((D24-E24)/60*100)," ")</f>
        <v>0.74999999999998102</v>
      </c>
      <c r="G24" s="4">
        <f>IF(B24,C24*COS(PI()/180*(E24+F24))," ")</f>
        <v>126.15117555943395</v>
      </c>
      <c r="H24" s="4">
        <f>IF(B24,(C24*SIN(PI()/180*(E24+F24)))," ")</f>
        <v>21.676736492675108</v>
      </c>
      <c r="I24" s="4"/>
      <c r="J24" s="4"/>
      <c r="K24" s="4">
        <f t="shared" si="0"/>
        <v>10.008411883864412</v>
      </c>
      <c r="L24" s="4">
        <f t="shared" si="1"/>
        <v>2.4716105494412801</v>
      </c>
      <c r="M24" s="4">
        <f t="shared" si="2"/>
        <v>100.16830843707838</v>
      </c>
      <c r="N24" s="4">
        <f t="shared" si="3"/>
        <v>6.1088587081094268</v>
      </c>
      <c r="O24" s="4"/>
      <c r="P24" s="4"/>
      <c r="Q24" s="4"/>
      <c r="R24" s="4"/>
      <c r="S24" s="4"/>
      <c r="T24" s="4"/>
      <c r="U24" s="4"/>
      <c r="V24" s="4"/>
      <c r="W24" s="5"/>
      <c r="AA24" s="25"/>
      <c r="AB24" s="25"/>
    </row>
    <row r="25" spans="1:28">
      <c r="A25" s="3">
        <v>14</v>
      </c>
      <c r="B25" s="25">
        <v>278.55</v>
      </c>
      <c r="C25" s="25">
        <v>132</v>
      </c>
      <c r="D25" s="4">
        <f>IF(B25,B25-$C$4," ")</f>
        <v>8.5500000000000114</v>
      </c>
      <c r="E25" s="4">
        <f>IF(B25,INT(D25)," ")</f>
        <v>8</v>
      </c>
      <c r="F25" s="4">
        <f>IF(B25,((D25-E25)/60*100)," ")</f>
        <v>0.91666666666668561</v>
      </c>
      <c r="G25" s="4">
        <f>IF(B25,C25*COS(PI()/180*(E25+F25))," ")</f>
        <v>130.40475631184893</v>
      </c>
      <c r="H25" s="4">
        <f>IF(B25,(C25*SIN(PI()/180*(E25+F25)))," ")</f>
        <v>20.459705062568595</v>
      </c>
      <c r="I25" s="4"/>
      <c r="J25" s="4"/>
      <c r="K25" s="4">
        <f t="shared" si="0"/>
        <v>14.261992636279388</v>
      </c>
      <c r="L25" s="4">
        <f t="shared" si="1"/>
        <v>1.2545791193347675</v>
      </c>
      <c r="M25" s="4">
        <f t="shared" si="2"/>
        <v>203.40443395728747</v>
      </c>
      <c r="N25" s="4">
        <f t="shared" si="3"/>
        <v>1.5739687666708009</v>
      </c>
      <c r="O25" s="4"/>
      <c r="P25" s="4"/>
      <c r="Q25" s="4"/>
      <c r="R25" s="4"/>
      <c r="S25" s="4"/>
      <c r="T25" s="4"/>
      <c r="U25" s="4"/>
      <c r="V25" s="4"/>
      <c r="W25" s="5"/>
      <c r="AA25" s="25"/>
      <c r="AB25" s="25"/>
    </row>
    <row r="26" spans="1:28">
      <c r="A26" s="3">
        <v>15</v>
      </c>
      <c r="B26" s="25">
        <v>280.3</v>
      </c>
      <c r="C26" s="25">
        <v>134</v>
      </c>
      <c r="D26" s="4">
        <f>IF(B26,B26-$C$4," ")</f>
        <v>10.300000000000011</v>
      </c>
      <c r="E26" s="4">
        <f>IF(B26,INT(D26)," ")</f>
        <v>10</v>
      </c>
      <c r="F26" s="4">
        <f>IF(B26,((D26-E26)/60*100)," ")</f>
        <v>0.50000000000001887</v>
      </c>
      <c r="G26" s="4">
        <f>IF(B26,C26*COS(PI()/180*(E26+F26))," ")</f>
        <v>131.75615761356991</v>
      </c>
      <c r="H26" s="4">
        <f>IF(B26,(C26*SIN(PI()/180*(E26+F26)))," ")</f>
        <v>24.419560415947803</v>
      </c>
      <c r="I26" s="4"/>
      <c r="J26" s="4"/>
      <c r="K26" s="4">
        <f t="shared" si="0"/>
        <v>15.613393938000371</v>
      </c>
      <c r="L26" s="4">
        <f t="shared" si="1"/>
        <v>5.2144344727139753</v>
      </c>
      <c r="M26" s="4">
        <f t="shared" si="2"/>
        <v>243.77807026318672</v>
      </c>
      <c r="N26" s="4">
        <f t="shared" si="3"/>
        <v>27.190326870227874</v>
      </c>
      <c r="O26" s="4"/>
      <c r="P26" s="4"/>
      <c r="Q26" s="4"/>
      <c r="R26" s="4"/>
      <c r="S26" s="4"/>
      <c r="T26" s="4"/>
      <c r="U26" s="4"/>
      <c r="V26" s="4"/>
      <c r="W26" s="5"/>
      <c r="AA26" s="25"/>
      <c r="AB26" s="25"/>
    </row>
    <row r="27" spans="1:28">
      <c r="A27" s="3">
        <v>16</v>
      </c>
      <c r="B27" s="25">
        <v>290.3</v>
      </c>
      <c r="C27" s="25">
        <v>144</v>
      </c>
      <c r="D27" s="4">
        <f>IF(B27,B27-$C$4," ")</f>
        <v>20.300000000000011</v>
      </c>
      <c r="E27" s="4">
        <f>IF(B27,INT(D27)," ")</f>
        <v>20</v>
      </c>
      <c r="F27" s="4">
        <f>IF(B27,((D27-E27)/60*100)," ")</f>
        <v>0.50000000000001887</v>
      </c>
      <c r="G27" s="4">
        <f>IF(B27,C27*COS(PI()/180*(E27+F27))," ")</f>
        <v>134.88079525176923</v>
      </c>
      <c r="H27" s="4">
        <f>IF(B27,(C27*SIN(PI()/180*(E27+F27)))," ")</f>
        <v>50.429862901363357</v>
      </c>
      <c r="I27" s="4"/>
      <c r="J27" s="4"/>
      <c r="K27" s="4">
        <f t="shared" si="0"/>
        <v>18.738031576199688</v>
      </c>
      <c r="L27" s="4">
        <f t="shared" si="1"/>
        <v>31.22473695812953</v>
      </c>
      <c r="M27" s="4">
        <f t="shared" si="2"/>
        <v>351.11382735065655</v>
      </c>
      <c r="N27" s="4">
        <f t="shared" si="3"/>
        <v>974.9841981043802</v>
      </c>
      <c r="O27" s="4"/>
      <c r="P27" s="4"/>
      <c r="Q27" s="4"/>
      <c r="R27" s="4"/>
      <c r="S27" s="4"/>
      <c r="T27" s="4"/>
      <c r="U27" s="4"/>
      <c r="V27" s="4"/>
      <c r="W27" s="5"/>
      <c r="AA27" s="25"/>
      <c r="AB27" s="25"/>
    </row>
    <row r="28" spans="1:28">
      <c r="A28" s="3">
        <v>17</v>
      </c>
      <c r="B28" s="25">
        <v>269.3</v>
      </c>
      <c r="C28" s="25">
        <v>160</v>
      </c>
      <c r="D28" s="4">
        <f>IF(B28,B28-$C$4," ")</f>
        <v>-0.69999999999998863</v>
      </c>
      <c r="E28" s="4">
        <f>IF(B28,INT(D28)," ")</f>
        <v>-1</v>
      </c>
      <c r="F28" s="4">
        <f>IF(B28,((D28-E28)/60*100)," ")</f>
        <v>0.50000000000001887</v>
      </c>
      <c r="G28" s="4">
        <f>IF(B28,C28*COS(PI()/180*(E28+F28))," ")</f>
        <v>159.99390769026741</v>
      </c>
      <c r="H28" s="4">
        <f>IF(B28,(C28*SIN(PI()/180*(E28+F28)))," ")</f>
        <v>-1.3962456797397769</v>
      </c>
      <c r="I28" s="4"/>
      <c r="J28" s="4"/>
      <c r="K28" s="4">
        <f t="shared" si="0"/>
        <v>43.851144014697866</v>
      </c>
      <c r="L28" s="4">
        <f t="shared" si="1"/>
        <v>-20.601371622973605</v>
      </c>
      <c r="M28" s="4">
        <f t="shared" si="2"/>
        <v>1922.9228313977724</v>
      </c>
      <c r="N28" s="4">
        <f t="shared" si="3"/>
        <v>424.4165127478621</v>
      </c>
      <c r="O28" s="4"/>
      <c r="P28" s="4"/>
      <c r="Q28" s="4"/>
      <c r="R28" s="4"/>
      <c r="S28" s="4"/>
      <c r="T28" s="4"/>
      <c r="U28" s="4"/>
      <c r="V28" s="4"/>
      <c r="W28" s="5"/>
      <c r="AA28" s="25"/>
      <c r="AB28" s="25"/>
    </row>
    <row r="29" spans="1:28">
      <c r="A29" s="3">
        <v>18</v>
      </c>
      <c r="B29" s="25">
        <v>289.05</v>
      </c>
      <c r="C29" s="25">
        <v>106</v>
      </c>
      <c r="D29" s="4">
        <f>IF(B29,B29-$C$4," ")</f>
        <v>19.050000000000011</v>
      </c>
      <c r="E29" s="4">
        <f>IF(B29,INT(D29)," ")</f>
        <v>19</v>
      </c>
      <c r="F29" s="4">
        <f>IF(B29,((D29-E29)/60*100)," ")</f>
        <v>8.3333333333352286E-2</v>
      </c>
      <c r="G29" s="4">
        <f>IF(B29,C29*COS(PI()/180*(E29+F29))," ")</f>
        <v>100.17466993661385</v>
      </c>
      <c r="H29" s="4">
        <f>IF(B29,(C29*SIN(PI()/180*(E29+F29)))," ")</f>
        <v>34.65595912812789</v>
      </c>
      <c r="I29" s="4"/>
      <c r="J29" s="4"/>
      <c r="K29" s="4">
        <f t="shared" si="0"/>
        <v>-15.968093738955687</v>
      </c>
      <c r="L29" s="4">
        <f t="shared" si="1"/>
        <v>15.450833184894062</v>
      </c>
      <c r="M29" s="4">
        <f t="shared" si="2"/>
        <v>254.98001765607583</v>
      </c>
      <c r="N29" s="4">
        <f t="shared" si="3"/>
        <v>238.72824610742359</v>
      </c>
      <c r="O29" s="4"/>
      <c r="P29" s="4"/>
      <c r="Q29" s="4"/>
      <c r="R29" s="4"/>
      <c r="S29" s="4"/>
      <c r="T29" s="4"/>
      <c r="U29" s="4"/>
      <c r="V29" s="4"/>
      <c r="W29" s="5"/>
      <c r="AA29" s="25"/>
      <c r="AB29" s="25"/>
    </row>
    <row r="30" spans="1:28">
      <c r="A30" s="3">
        <v>19</v>
      </c>
      <c r="B30" s="25">
        <v>279.39999999999998</v>
      </c>
      <c r="C30" s="25">
        <v>102</v>
      </c>
      <c r="D30" s="4">
        <f>IF(B30,B30-$C$4," ")</f>
        <v>9.3999999999999773</v>
      </c>
      <c r="E30" s="4">
        <f>IF(B30,INT(D30)," ")</f>
        <v>9</v>
      </c>
      <c r="F30" s="4">
        <f>IF(B30,((D30-E30)/60*100)," ")</f>
        <v>0.66666666666662877</v>
      </c>
      <c r="G30" s="4">
        <f>IF(B30,C30*COS(PI()/180*(E30+F30))," ")</f>
        <v>100.5517351926829</v>
      </c>
      <c r="H30" s="4">
        <f>IF(B30,(C30*SIN(PI()/180*(E30+F30)))," ")</f>
        <v>17.127420989179196</v>
      </c>
      <c r="I30" s="4"/>
      <c r="J30" s="4"/>
      <c r="K30" s="4">
        <f t="shared" si="0"/>
        <v>-15.591028482886642</v>
      </c>
      <c r="L30" s="4">
        <f t="shared" si="1"/>
        <v>-2.0777049540546315</v>
      </c>
      <c r="M30" s="4">
        <f t="shared" si="2"/>
        <v>243.08016915418256</v>
      </c>
      <c r="N30" s="4">
        <f t="shared" si="3"/>
        <v>4.3168578761031586</v>
      </c>
      <c r="O30" s="4"/>
      <c r="P30" s="4"/>
      <c r="Q30" s="4"/>
      <c r="R30" s="4"/>
      <c r="S30" s="4"/>
      <c r="T30" s="4"/>
      <c r="U30" s="4"/>
      <c r="V30" s="4"/>
      <c r="W30" s="5"/>
    </row>
    <row r="31" spans="1:28">
      <c r="A31" s="3">
        <v>20</v>
      </c>
      <c r="B31" s="25">
        <v>285.2</v>
      </c>
      <c r="C31" s="25">
        <v>106</v>
      </c>
      <c r="D31" s="4">
        <f>IF(B31,B31-$C$4," ")</f>
        <v>15.199999999999989</v>
      </c>
      <c r="E31" s="4">
        <f>IF(B31,INT(D31)," ")</f>
        <v>15</v>
      </c>
      <c r="F31" s="4">
        <f>IF(B31,((D31-E31)/60*100)," ")</f>
        <v>0.33333333333331439</v>
      </c>
      <c r="G31" s="4">
        <f>IF(B31,C31*COS(PI()/180*(E31+F31))," ")</f>
        <v>102.22679645218354</v>
      </c>
      <c r="H31" s="4">
        <f>IF(B31,(C31*SIN(PI()/180*(E31+F31)))," ")</f>
        <v>28.030021175943403</v>
      </c>
      <c r="I31" s="4"/>
      <c r="J31" s="4"/>
      <c r="K31" s="4">
        <f t="shared" si="0"/>
        <v>-13.915967223386005</v>
      </c>
      <c r="L31" s="4">
        <f t="shared" si="1"/>
        <v>8.8248952327095758</v>
      </c>
      <c r="M31" s="4">
        <f t="shared" si="2"/>
        <v>193.65414376235358</v>
      </c>
      <c r="N31" s="4">
        <f t="shared" si="3"/>
        <v>77.878775868300195</v>
      </c>
      <c r="O31" s="4"/>
      <c r="P31" s="4"/>
      <c r="Q31" s="4"/>
      <c r="R31" s="4"/>
      <c r="S31" s="4"/>
      <c r="T31" s="4"/>
      <c r="U31" s="4"/>
      <c r="V31" s="4"/>
      <c r="W31" s="5"/>
    </row>
    <row r="32" spans="1:28">
      <c r="A32" s="3">
        <v>21</v>
      </c>
      <c r="B32" s="25">
        <v>273.05</v>
      </c>
      <c r="C32" s="25">
        <v>104</v>
      </c>
      <c r="D32" s="4">
        <f>IF(B32,B32-$C$4," ")</f>
        <v>3.0500000000000114</v>
      </c>
      <c r="E32" s="4">
        <f>IF(B32,INT(D32)," ")</f>
        <v>3</v>
      </c>
      <c r="F32" s="4">
        <f>IF(B32,((D32-E32)/60*100)," ")</f>
        <v>8.3333333333352286E-2</v>
      </c>
      <c r="G32" s="4">
        <f>IF(B32,C32*COS(PI()/180*(E32+F32))," ")</f>
        <v>103.84944533277201</v>
      </c>
      <c r="H32" s="4">
        <f>IF(B32,(C32*SIN(PI()/180*(E32+F32)))," ")</f>
        <v>5.5939882083892183</v>
      </c>
      <c r="I32" s="4"/>
      <c r="J32" s="4"/>
      <c r="K32" s="4">
        <f t="shared" si="0"/>
        <v>-12.293318342797534</v>
      </c>
      <c r="L32" s="4">
        <f t="shared" si="1"/>
        <v>-13.611137734844609</v>
      </c>
      <c r="M32" s="4">
        <f t="shared" si="2"/>
        <v>151.12567587736231</v>
      </c>
      <c r="N32" s="4">
        <f t="shared" si="3"/>
        <v>185.26307043691085</v>
      </c>
      <c r="O32" s="4"/>
      <c r="P32" s="4"/>
      <c r="Q32" s="4"/>
      <c r="R32" s="4"/>
      <c r="S32" s="4"/>
      <c r="T32" s="4"/>
      <c r="U32" s="4"/>
      <c r="V32" s="4"/>
      <c r="W32" s="5"/>
    </row>
    <row r="33" spans="1:28">
      <c r="A33" s="3">
        <v>22</v>
      </c>
      <c r="B33" s="25">
        <v>306</v>
      </c>
      <c r="C33" s="25">
        <v>132</v>
      </c>
      <c r="D33" s="4">
        <f>IF(B33,B33-$C$4," ")</f>
        <v>36</v>
      </c>
      <c r="E33" s="4">
        <f>IF(B33,INT(D33)," ")</f>
        <v>36</v>
      </c>
      <c r="F33" s="4">
        <f>IF(B33,((D33-E33)/60*100)," ")</f>
        <v>0</v>
      </c>
      <c r="G33" s="4">
        <f>IF(B33,C33*COS(PI()/180*(E33+F33))," ")</f>
        <v>106.79024325749306</v>
      </c>
      <c r="H33" s="4">
        <f>IF(B33,(C33*SIN(PI()/180*(E33+F33)))," ")</f>
        <v>77.587653302606455</v>
      </c>
      <c r="I33" s="4"/>
      <c r="J33" s="4"/>
      <c r="K33" s="4">
        <f t="shared" si="0"/>
        <v>-9.3525204180764803</v>
      </c>
      <c r="L33" s="4">
        <f t="shared" si="1"/>
        <v>58.382527359372631</v>
      </c>
      <c r="M33" s="4">
        <f t="shared" si="2"/>
        <v>87.469638170537465</v>
      </c>
      <c r="N33" s="4">
        <f t="shared" si="3"/>
        <v>3408.5195008678938</v>
      </c>
      <c r="O33" s="4"/>
      <c r="P33" s="4"/>
      <c r="Q33" s="4"/>
      <c r="R33" s="4"/>
      <c r="S33" s="4"/>
      <c r="T33" s="4"/>
      <c r="U33" s="4"/>
      <c r="V33" s="4"/>
      <c r="W33" s="5"/>
    </row>
    <row r="34" spans="1:28">
      <c r="A34" s="3">
        <v>23</v>
      </c>
      <c r="B34" s="25"/>
      <c r="C34" s="25"/>
      <c r="D34" s="4" t="str">
        <f>IF(B34,B34-$C$4," ")</f>
        <v xml:space="preserve"> </v>
      </c>
      <c r="E34" s="4" t="str">
        <f>IF(B34,INT(D34)," ")</f>
        <v xml:space="preserve"> </v>
      </c>
      <c r="F34" s="4" t="str">
        <f>IF(B34,((D34-E34)/60*100)," ")</f>
        <v xml:space="preserve"> </v>
      </c>
      <c r="G34" s="4" t="str">
        <f>IF(B34,C34*COS(PI()/180*(E34+F34))," ")</f>
        <v xml:space="preserve"> </v>
      </c>
      <c r="H34" s="4" t="str">
        <f>IF(B34,(C34*SIN(PI()/180*(E34+F34)))," ")</f>
        <v xml:space="preserve"> </v>
      </c>
      <c r="I34" s="4"/>
      <c r="J34" s="4"/>
      <c r="K34" s="4" t="str">
        <f>IF(B34,SUM(G34,-$I$12)," ")</f>
        <v xml:space="preserve"> </v>
      </c>
      <c r="L34" s="4" t="str">
        <f t="shared" si="1"/>
        <v xml:space="preserve"> </v>
      </c>
      <c r="M34" s="4" t="str">
        <f t="shared" si="2"/>
        <v xml:space="preserve"> </v>
      </c>
      <c r="N34" s="4" t="str">
        <f t="shared" si="3"/>
        <v xml:space="preserve"> </v>
      </c>
      <c r="O34" s="4"/>
      <c r="P34" s="4"/>
      <c r="Q34" s="4"/>
      <c r="R34" s="4"/>
      <c r="S34" s="4"/>
      <c r="T34" s="4"/>
      <c r="U34" s="4"/>
      <c r="V34" s="4"/>
      <c r="W34" s="5"/>
    </row>
    <row r="35" spans="1:28" ht="15.75" customHeight="1" thickBot="1">
      <c r="A35" s="6">
        <v>24</v>
      </c>
      <c r="B35" s="25"/>
      <c r="C35" s="25"/>
      <c r="D35" s="7" t="str">
        <f>IF(B35,B35-$C$4," ")</f>
        <v xml:space="preserve"> </v>
      </c>
      <c r="E35" s="7" t="str">
        <f>IF(B35,INT(D35)," ")</f>
        <v xml:space="preserve"> </v>
      </c>
      <c r="F35" s="7" t="str">
        <f>IF(B35,((D35-E35)/60*100)," ")</f>
        <v xml:space="preserve"> </v>
      </c>
      <c r="G35" s="7" t="str">
        <f>IF(B35,C35*COS(PI()/180*(E35+F35))," ")</f>
        <v xml:space="preserve"> </v>
      </c>
      <c r="H35" s="7" t="str">
        <f>IF(B35,(C35*SIN(PI()/180*(E35+F35)))," ")</f>
        <v xml:space="preserve"> </v>
      </c>
      <c r="I35" s="7"/>
      <c r="J35" s="7"/>
      <c r="K35" s="7" t="str">
        <f t="shared" si="0"/>
        <v xml:space="preserve"> </v>
      </c>
      <c r="L35" s="7" t="str">
        <f t="shared" si="1"/>
        <v xml:space="preserve"> </v>
      </c>
      <c r="M35" s="7" t="str">
        <f t="shared" si="2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8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8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8">
      <c r="A38" s="3">
        <v>1</v>
      </c>
      <c r="B38" s="25">
        <v>248.2</v>
      </c>
      <c r="C38" s="25">
        <v>20</v>
      </c>
      <c r="D38" s="4">
        <f>IF(B38,B38-$C$4," ")</f>
        <v>-21.800000000000011</v>
      </c>
      <c r="E38" s="4">
        <f>IF(B38,INT(D38)," ")</f>
        <v>-22</v>
      </c>
      <c r="F38" s="4">
        <f>IF(B38,((D38-E38)/60*100)," ")</f>
        <v>0.33333333333331439</v>
      </c>
      <c r="G38" s="4">
        <f>IF(B38,C38*COS(PI()/180*(E38+F38))," ")</f>
        <v>18.586950484536445</v>
      </c>
      <c r="H38" s="4">
        <f>IF(B38,(C38*SIN(PI()/180*(E38+F38)))," ")</f>
        <v>-7.3841229462536955</v>
      </c>
      <c r="I38" s="4">
        <f>SUM(G38:G61)/E6</f>
        <v>67.287427706094732</v>
      </c>
      <c r="J38" s="4">
        <f>SUM(H38:H61)/E6</f>
        <v>18.996543355779778</v>
      </c>
      <c r="K38" s="4">
        <f t="shared" ref="K38:K61" si="4">IF(B38,SUM(G38,-$I$12)," ")</f>
        <v>-97.555813191033096</v>
      </c>
      <c r="L38" s="4">
        <f t="shared" ref="L38:L61" si="5">IF(B38,SUM(H38,-$J$12)," ")</f>
        <v>-26.589248889487521</v>
      </c>
      <c r="M38" s="4">
        <f t="shared" ref="M38:M61" si="6">IF(B38,POWER(K38,2)," ")</f>
        <v>9517.1366873637471</v>
      </c>
      <c r="N38" s="4">
        <f t="shared" ref="N38:N61" si="7">IF(B38,POWER(L38,2)," ")</f>
        <v>706.98815650711344</v>
      </c>
      <c r="O38" s="4">
        <f>E6-1</f>
        <v>15</v>
      </c>
      <c r="P38" s="4">
        <f>SUM(M38:M61)</f>
        <v>43820.74539676826</v>
      </c>
      <c r="Q38" s="4">
        <f>SUM(N38:N61)</f>
        <v>5681.9869650733826</v>
      </c>
      <c r="R38" s="4">
        <f>PRODUCT(P38,1/$O$38)</f>
        <v>2921.3830264512171</v>
      </c>
      <c r="S38" s="4">
        <f>PRODUCT(Q38,1/$O$38)</f>
        <v>378.79913100489216</v>
      </c>
      <c r="T38" s="4">
        <f>SQRT(R38)</f>
        <v>54.049819855862765</v>
      </c>
      <c r="U38" s="4">
        <f>SQRT(S38)</f>
        <v>19.462762676580429</v>
      </c>
      <c r="V38" s="4">
        <f>PRODUCT(T38:U38)</f>
        <v>1051.9588165665816</v>
      </c>
      <c r="W38" s="10">
        <f>SQRT(V38)</f>
        <v>32.433914604416493</v>
      </c>
    </row>
    <row r="39" spans="1:28">
      <c r="A39" s="3">
        <v>2</v>
      </c>
      <c r="B39" s="25">
        <v>283.2</v>
      </c>
      <c r="C39" s="25">
        <v>40</v>
      </c>
      <c r="D39" s="4">
        <f>IF(B39,B39-$C$4," ")</f>
        <v>13.199999999999989</v>
      </c>
      <c r="E39" s="4">
        <f>IF(B39,INT(D39)," ")</f>
        <v>13</v>
      </c>
      <c r="F39" s="4">
        <f>IF(B39,((D39-E39)/60*100)," ")</f>
        <v>0.33333333333331439</v>
      </c>
      <c r="G39" s="4">
        <f>IF(B39,C39*COS(PI()/180*(E39+F39))," ")</f>
        <v>38.921794823192954</v>
      </c>
      <c r="H39" s="4">
        <f>IF(B39,(C39*SIN(PI()/180*(E39+F39)))," ")</f>
        <v>9.2246348296975942</v>
      </c>
      <c r="I39" s="4"/>
      <c r="J39" s="4"/>
      <c r="K39" s="4">
        <f t="shared" si="4"/>
        <v>-77.220968852376586</v>
      </c>
      <c r="L39" s="4">
        <f t="shared" si="5"/>
        <v>-9.9804911135362335</v>
      </c>
      <c r="M39" s="4">
        <f t="shared" si="6"/>
        <v>5963.0780304997152</v>
      </c>
      <c r="N39" s="4">
        <f t="shared" si="7"/>
        <v>99.610202867375733</v>
      </c>
      <c r="O39" s="4"/>
      <c r="P39" s="4"/>
      <c r="Q39" s="4"/>
      <c r="R39" s="4"/>
      <c r="S39" s="4"/>
      <c r="T39" s="4"/>
      <c r="U39" s="4"/>
      <c r="V39" s="4"/>
      <c r="W39" s="5"/>
    </row>
    <row r="40" spans="1:28">
      <c r="A40" s="3">
        <v>3</v>
      </c>
      <c r="B40" s="25">
        <v>293.39999999999998</v>
      </c>
      <c r="C40" s="25">
        <v>56</v>
      </c>
      <c r="D40" s="4">
        <f>IF(B40,B40-$C$4," ")</f>
        <v>23.399999999999977</v>
      </c>
      <c r="E40" s="4">
        <f>IF(B40,INT(D40)," ")</f>
        <v>23</v>
      </c>
      <c r="F40" s="4">
        <f>IF(B40,((D40-E40)/60*100)," ")</f>
        <v>0.66666666666662877</v>
      </c>
      <c r="G40" s="4">
        <f>IF(B40,C40*COS(PI()/180*(E40+F40))," ")</f>
        <v>51.290191797852636</v>
      </c>
      <c r="H40" s="4">
        <f>IF(B40,(C40*SIN(PI()/180*(E40+F40)))," ")</f>
        <v>22.47923987459296</v>
      </c>
      <c r="I40" s="4"/>
      <c r="J40" s="4"/>
      <c r="K40" s="4">
        <f t="shared" si="4"/>
        <v>-64.852571877716912</v>
      </c>
      <c r="L40" s="4">
        <f t="shared" si="5"/>
        <v>3.2741139313591319</v>
      </c>
      <c r="M40" s="4">
        <f t="shared" si="6"/>
        <v>4205.8560791544387</v>
      </c>
      <c r="N40" s="4">
        <f t="shared" si="7"/>
        <v>10.71982203551995</v>
      </c>
      <c r="O40" s="4"/>
      <c r="P40" s="4"/>
      <c r="Q40" s="4"/>
      <c r="R40" s="4"/>
      <c r="S40" s="4"/>
      <c r="T40" s="4"/>
      <c r="U40" s="4"/>
      <c r="V40" s="4"/>
      <c r="W40" s="5"/>
    </row>
    <row r="41" spans="1:28">
      <c r="A41" s="3">
        <v>4</v>
      </c>
      <c r="B41" s="25">
        <v>291.39999999999998</v>
      </c>
      <c r="C41" s="25">
        <v>60</v>
      </c>
      <c r="D41" s="4">
        <f>IF(B41,B41-$C$4," ")</f>
        <v>21.399999999999977</v>
      </c>
      <c r="E41" s="4">
        <f>IF(B41,INT(D41)," ")</f>
        <v>21</v>
      </c>
      <c r="F41" s="4">
        <f>IF(B41,((D41-E41)/60*100)," ")</f>
        <v>0.66666666666662877</v>
      </c>
      <c r="G41" s="4">
        <f>IF(B41,C41*COS(PI()/180*(E41+F41))," ")</f>
        <v>55.760851453609362</v>
      </c>
      <c r="H41" s="4">
        <f>IF(B41,(C41*SIN(PI()/180*(E41+F41)))," ")</f>
        <v>22.152368838761028</v>
      </c>
      <c r="I41" s="4"/>
      <c r="J41" s="4"/>
      <c r="K41" s="4">
        <f t="shared" si="4"/>
        <v>-60.381912221960178</v>
      </c>
      <c r="L41" s="4">
        <f t="shared" si="5"/>
        <v>2.9472428955272001</v>
      </c>
      <c r="M41" s="4">
        <f t="shared" si="6"/>
        <v>3645.9753235805038</v>
      </c>
      <c r="N41" s="4">
        <f t="shared" si="7"/>
        <v>8.6862406852355551</v>
      </c>
      <c r="O41" s="4"/>
      <c r="P41" s="4"/>
      <c r="Q41" s="4"/>
      <c r="R41" s="4"/>
      <c r="S41" s="4"/>
      <c r="T41" s="4"/>
      <c r="U41" s="4"/>
      <c r="V41" s="4"/>
      <c r="W41" s="5"/>
    </row>
    <row r="42" spans="1:28">
      <c r="A42" s="3">
        <v>5</v>
      </c>
      <c r="B42" s="25">
        <v>270.2</v>
      </c>
      <c r="C42" s="25">
        <v>58</v>
      </c>
      <c r="D42" s="4">
        <f>IF(B42,B42-$C$4," ")</f>
        <v>0.19999999999998863</v>
      </c>
      <c r="E42" s="4">
        <f>IF(B42,INT(D42)," ")</f>
        <v>0</v>
      </c>
      <c r="F42" s="4">
        <f>IF(B42,((D42-E42)/60*100)," ")</f>
        <v>0.33333333333331439</v>
      </c>
      <c r="G42" s="4">
        <f>IF(B42,C42*COS(PI()/180*(E42+F42))," ")</f>
        <v>57.999018457749166</v>
      </c>
      <c r="H42" s="4">
        <f>IF(B42,(C42*SIN(PI()/180*(E42+F42)))," ")</f>
        <v>0.33742841858962325</v>
      </c>
      <c r="I42" s="4"/>
      <c r="J42" s="4"/>
      <c r="K42" s="4">
        <f t="shared" si="4"/>
        <v>-58.143745217820374</v>
      </c>
      <c r="L42" s="4">
        <f t="shared" si="5"/>
        <v>-18.867697524644203</v>
      </c>
      <c r="M42" s="4">
        <f t="shared" si="6"/>
        <v>3380.6951079548098</v>
      </c>
      <c r="N42" s="4">
        <f t="shared" si="7"/>
        <v>355.99000988146497</v>
      </c>
      <c r="O42" s="4"/>
      <c r="P42" s="4"/>
      <c r="Q42" s="4"/>
      <c r="R42" s="4"/>
      <c r="S42" s="4"/>
      <c r="T42" s="4"/>
      <c r="U42" s="4"/>
      <c r="V42" s="4"/>
      <c r="W42" s="5"/>
    </row>
    <row r="43" spans="1:28">
      <c r="A43" s="3">
        <v>6</v>
      </c>
      <c r="B43" s="25">
        <v>278.05</v>
      </c>
      <c r="C43" s="25">
        <v>66</v>
      </c>
      <c r="D43" s="4">
        <f>IF(B43,B43-$C$4," ")</f>
        <v>8.0500000000000114</v>
      </c>
      <c r="E43" s="4">
        <f>IF(B43,INT(D43)," ")</f>
        <v>8</v>
      </c>
      <c r="F43" s="4">
        <f>IF(B43,((D43-E43)/60*100)," ")</f>
        <v>8.3333333333352286E-2</v>
      </c>
      <c r="G43" s="4">
        <f>IF(B43,C43*COS(PI()/180*(E43+F43))," ")</f>
        <v>65.344263754244693</v>
      </c>
      <c r="H43" s="4">
        <f>IF(B43,(C43*SIN(PI()/180*(E43+F43)))," ")</f>
        <v>9.2804738249565375</v>
      </c>
      <c r="I43" s="4"/>
      <c r="J43" s="4"/>
      <c r="K43" s="4">
        <f t="shared" si="4"/>
        <v>-50.798499921324847</v>
      </c>
      <c r="L43" s="4">
        <f t="shared" si="5"/>
        <v>-9.9246521182772902</v>
      </c>
      <c r="M43" s="4">
        <f t="shared" si="6"/>
        <v>2580.4875942568406</v>
      </c>
      <c r="N43" s="4">
        <f t="shared" si="7"/>
        <v>98.498719668825899</v>
      </c>
      <c r="O43" s="4"/>
      <c r="P43" s="4"/>
      <c r="Q43" s="4"/>
      <c r="R43" s="4"/>
      <c r="S43" s="4"/>
      <c r="T43" s="4"/>
      <c r="U43" s="4"/>
      <c r="V43" s="4"/>
      <c r="W43" s="5"/>
      <c r="AA43" s="25"/>
      <c r="AB43" s="25"/>
    </row>
    <row r="44" spans="1:28">
      <c r="A44" s="3">
        <v>7</v>
      </c>
      <c r="B44" s="25">
        <v>271.25</v>
      </c>
      <c r="C44" s="25">
        <v>68</v>
      </c>
      <c r="D44" s="4">
        <f>IF(B44,B44-$C$4," ")</f>
        <v>1.25</v>
      </c>
      <c r="E44" s="4">
        <f>IF(B44,INT(D44)," ")</f>
        <v>1</v>
      </c>
      <c r="F44" s="4">
        <f>IF(B44,((D44-E44)/60*100)," ")</f>
        <v>0.41666666666666669</v>
      </c>
      <c r="G44" s="4">
        <f>IF(B44,C44*COS(PI()/180*(E44+F44))," ")</f>
        <v>67.979215150831294</v>
      </c>
      <c r="H44" s="4">
        <f>IF(B44,(C44*SIN(PI()/180*(E44+F44)))," ")</f>
        <v>1.6811625373498527</v>
      </c>
      <c r="I44" s="4"/>
      <c r="J44" s="4"/>
      <c r="K44" s="4">
        <f t="shared" si="4"/>
        <v>-48.163548524738246</v>
      </c>
      <c r="L44" s="4">
        <f t="shared" si="5"/>
        <v>-17.523963405883975</v>
      </c>
      <c r="M44" s="4">
        <f t="shared" si="6"/>
        <v>2319.7274064948156</v>
      </c>
      <c r="N44" s="4">
        <f t="shared" si="7"/>
        <v>307.08929345076069</v>
      </c>
      <c r="O44" s="4"/>
      <c r="P44" s="4"/>
      <c r="Q44" s="4"/>
      <c r="R44" s="4"/>
      <c r="S44" s="4"/>
      <c r="T44" s="4"/>
      <c r="U44" s="4"/>
      <c r="V44" s="4"/>
      <c r="W44" s="5"/>
      <c r="AA44" s="25"/>
      <c r="AB44" s="25"/>
    </row>
    <row r="45" spans="1:28">
      <c r="A45" s="3">
        <v>8</v>
      </c>
      <c r="B45" s="25">
        <v>289.14999999999998</v>
      </c>
      <c r="C45" s="25">
        <v>74</v>
      </c>
      <c r="D45" s="4">
        <f>IF(B45,B45-$C$4," ")</f>
        <v>19.149999999999977</v>
      </c>
      <c r="E45" s="4">
        <f>IF(B45,INT(D45)," ")</f>
        <v>19</v>
      </c>
      <c r="F45" s="4">
        <f>IF(B45,((D45-E45)/60*100)," ")</f>
        <v>0.24999999999996211</v>
      </c>
      <c r="G45" s="4">
        <f>IF(B45,C45*COS(PI()/180*(E45+F45))," ")</f>
        <v>69.862587509066046</v>
      </c>
      <c r="H45" s="4">
        <f>IF(B45,(C45*SIN(PI()/180*(E45+F45)))," ")</f>
        <v>24.39710774944621</v>
      </c>
      <c r="I45" s="4"/>
      <c r="J45" s="4"/>
      <c r="K45" s="4">
        <f t="shared" si="4"/>
        <v>-46.280176166503495</v>
      </c>
      <c r="L45" s="4">
        <f t="shared" si="5"/>
        <v>5.1919818062123824</v>
      </c>
      <c r="M45" s="4">
        <f t="shared" si="6"/>
        <v>2141.854706002598</v>
      </c>
      <c r="N45" s="4">
        <f t="shared" si="7"/>
        <v>26.956675076040394</v>
      </c>
      <c r="O45" s="4"/>
      <c r="P45" s="4"/>
      <c r="Q45" s="4"/>
      <c r="R45" s="4"/>
      <c r="S45" s="4"/>
      <c r="T45" s="4"/>
      <c r="U45" s="4"/>
      <c r="V45" s="4"/>
      <c r="W45" s="5"/>
      <c r="AA45" s="25"/>
      <c r="AB45" s="25"/>
    </row>
    <row r="46" spans="1:28">
      <c r="A46" s="3">
        <v>9</v>
      </c>
      <c r="B46" s="25">
        <v>276.25</v>
      </c>
      <c r="C46" s="25">
        <v>74</v>
      </c>
      <c r="D46" s="4">
        <f>IF(B46,B46-$C$4," ")</f>
        <v>6.25</v>
      </c>
      <c r="E46" s="4">
        <f>IF(B46,INT(D46)," ")</f>
        <v>6</v>
      </c>
      <c r="F46" s="4">
        <f>IF(B46,((D46-E46)/60*100)," ")</f>
        <v>0.41666666666666669</v>
      </c>
      <c r="G46" s="4">
        <f>IF(B46,C46*COS(PI()/180*(E46+F46))," ")</f>
        <v>73.536423456786338</v>
      </c>
      <c r="H46" s="4">
        <f>IF(B46,(C46*SIN(PI()/180*(E46+F46)))," ")</f>
        <v>8.2700922113482989</v>
      </c>
      <c r="I46" s="4"/>
      <c r="J46" s="4"/>
      <c r="K46" s="4">
        <f t="shared" si="4"/>
        <v>-42.606340218783203</v>
      </c>
      <c r="L46" s="4">
        <f t="shared" si="5"/>
        <v>-10.935033731885529</v>
      </c>
      <c r="M46" s="4">
        <f t="shared" si="6"/>
        <v>1815.3002268387031</v>
      </c>
      <c r="N46" s="4">
        <f t="shared" si="7"/>
        <v>119.57496271747435</v>
      </c>
      <c r="O46" s="4"/>
      <c r="P46" s="4"/>
      <c r="Q46" s="4"/>
      <c r="R46" s="4"/>
      <c r="S46" s="4"/>
      <c r="T46" s="4"/>
      <c r="U46" s="4"/>
      <c r="V46" s="4"/>
      <c r="W46" s="5"/>
      <c r="AA46" s="25"/>
      <c r="AB46" s="25"/>
    </row>
    <row r="47" spans="1:28">
      <c r="A47" s="3">
        <v>10</v>
      </c>
      <c r="B47" s="25">
        <v>306.39999999999998</v>
      </c>
      <c r="C47" s="25">
        <v>92</v>
      </c>
      <c r="D47" s="4">
        <f>IF(B47,B47-$C$4," ")</f>
        <v>36.399999999999977</v>
      </c>
      <c r="E47" s="4">
        <f>IF(B47,INT(D47)," ")</f>
        <v>36</v>
      </c>
      <c r="F47" s="4">
        <f>IF(B47,((D47-E47)/60*100)," ")</f>
        <v>0.66666666666662877</v>
      </c>
      <c r="G47" s="4">
        <f>IF(B47,C47*COS(PI()/180*(E47+F47))," ")</f>
        <v>73.795333733464062</v>
      </c>
      <c r="H47" s="4">
        <f>IF(B47,(C47*SIN(PI()/180*(E47+F47)))," ")</f>
        <v>54.938590436656277</v>
      </c>
      <c r="I47" s="4"/>
      <c r="J47" s="4"/>
      <c r="K47" s="4">
        <f t="shared" si="4"/>
        <v>-42.347429942105478</v>
      </c>
      <c r="L47" s="4">
        <f t="shared" si="5"/>
        <v>35.733464493422446</v>
      </c>
      <c r="M47" s="4">
        <f t="shared" si="6"/>
        <v>1793.3048227015315</v>
      </c>
      <c r="N47" s="4">
        <f t="shared" si="7"/>
        <v>1276.8804847026827</v>
      </c>
      <c r="O47" s="4"/>
      <c r="P47" s="4"/>
      <c r="Q47" s="4"/>
      <c r="R47" s="4"/>
      <c r="S47" s="4"/>
      <c r="T47" s="4"/>
      <c r="U47" s="4"/>
      <c r="V47" s="4"/>
      <c r="W47" s="5"/>
      <c r="AA47" s="25"/>
      <c r="AB47" s="25"/>
    </row>
    <row r="48" spans="1:28">
      <c r="A48" s="3">
        <v>11</v>
      </c>
      <c r="B48" s="25">
        <v>311.14999999999998</v>
      </c>
      <c r="C48" s="25">
        <v>102</v>
      </c>
      <c r="D48" s="4">
        <f>IF(B48,B48-$C$4," ")</f>
        <v>41.149999999999977</v>
      </c>
      <c r="E48" s="4">
        <f>IF(B48,INT(D48)," ")</f>
        <v>41</v>
      </c>
      <c r="F48" s="4">
        <f>IF(B48,((D48-E48)/60*100)," ")</f>
        <v>0.24999999999996211</v>
      </c>
      <c r="G48" s="4">
        <f>IF(B48,C48*COS(PI()/180*(E48+F48))," ")</f>
        <v>76.687660362855738</v>
      </c>
      <c r="H48" s="4">
        <f>IF(B48,(C48*SIN(PI()/180*(E48+F48)))," ")</f>
        <v>67.253273140206971</v>
      </c>
      <c r="I48" s="4"/>
      <c r="J48" s="4"/>
      <c r="K48" s="4">
        <f t="shared" si="4"/>
        <v>-39.455103312713803</v>
      </c>
      <c r="L48" s="4">
        <f t="shared" si="5"/>
        <v>48.048147196973147</v>
      </c>
      <c r="M48" s="4">
        <f t="shared" si="6"/>
        <v>1556.7051774169197</v>
      </c>
      <c r="N48" s="4">
        <f t="shared" si="7"/>
        <v>2308.6244490619983</v>
      </c>
      <c r="O48" s="4"/>
      <c r="P48" s="4"/>
      <c r="Q48" s="4"/>
      <c r="R48" s="4"/>
      <c r="S48" s="4"/>
      <c r="T48" s="4"/>
      <c r="U48" s="4"/>
      <c r="V48" s="4"/>
      <c r="W48" s="5"/>
      <c r="AA48" s="25"/>
      <c r="AB48" s="25"/>
    </row>
    <row r="49" spans="1:28" ht="15.75" thickBot="1">
      <c r="A49" s="3">
        <v>12</v>
      </c>
      <c r="B49" s="26">
        <v>283.45</v>
      </c>
      <c r="C49" s="25">
        <v>84</v>
      </c>
      <c r="D49" s="4">
        <f>IF(B49,B49-$C$4," ")</f>
        <v>13.449999999999989</v>
      </c>
      <c r="E49" s="4">
        <f>IF(B49,INT(D49)," ")</f>
        <v>13</v>
      </c>
      <c r="F49" s="4">
        <f>IF(B49,((D49-E49)/60*100)," ")</f>
        <v>0.74999999999998102</v>
      </c>
      <c r="G49" s="4">
        <f>IF(B49,C49*COS(PI()/180*(E49+F49))," ")</f>
        <v>81.592733864313971</v>
      </c>
      <c r="H49" s="4">
        <f>IF(B49,(C49*SIN(PI()/180*(E49+F49)))," ")</f>
        <v>19.965614955398511</v>
      </c>
      <c r="I49" s="4"/>
      <c r="J49" s="4"/>
      <c r="K49" s="4">
        <f t="shared" si="4"/>
        <v>-34.55002981125557</v>
      </c>
      <c r="L49" s="4">
        <f t="shared" si="5"/>
        <v>0.76048901216468323</v>
      </c>
      <c r="M49" s="4">
        <f t="shared" si="6"/>
        <v>1193.7045599586486</v>
      </c>
      <c r="N49" s="4">
        <f t="shared" si="7"/>
        <v>0.57834353762321566</v>
      </c>
      <c r="O49" s="4"/>
      <c r="P49" s="4"/>
      <c r="Q49" s="4"/>
      <c r="R49" s="4"/>
      <c r="S49" s="4"/>
      <c r="T49" s="4"/>
      <c r="U49" s="4"/>
      <c r="V49" s="4"/>
      <c r="W49" s="5"/>
      <c r="AA49" s="25"/>
      <c r="AB49" s="25"/>
    </row>
    <row r="50" spans="1:28">
      <c r="A50" s="3">
        <v>13</v>
      </c>
      <c r="B50" s="25">
        <v>283.45</v>
      </c>
      <c r="C50" s="25">
        <v>84</v>
      </c>
      <c r="D50" s="4">
        <f>IF(B50,B50-$C$4," ")</f>
        <v>13.449999999999989</v>
      </c>
      <c r="E50" s="4">
        <f>IF(B50,INT(D50)," ")</f>
        <v>13</v>
      </c>
      <c r="F50" s="4">
        <f>IF(B50,((D50-E50)/60*100)," ")</f>
        <v>0.74999999999998102</v>
      </c>
      <c r="G50" s="4">
        <f>IF(B50,C50*COS(PI()/180*(E50+F50))," ")</f>
        <v>81.592733864313971</v>
      </c>
      <c r="H50" s="4">
        <f>IF(B50,(C50*SIN(PI()/180*(E50+F50)))," ")</f>
        <v>19.965614955398511</v>
      </c>
      <c r="I50" s="4"/>
      <c r="J50" s="4"/>
      <c r="K50" s="4">
        <f t="shared" si="4"/>
        <v>-34.55002981125557</v>
      </c>
      <c r="L50" s="4">
        <f t="shared" si="5"/>
        <v>0.76048901216468323</v>
      </c>
      <c r="M50" s="4">
        <f t="shared" si="6"/>
        <v>1193.7045599586486</v>
      </c>
      <c r="N50" s="4">
        <f t="shared" si="7"/>
        <v>0.57834353762321566</v>
      </c>
      <c r="O50" s="4"/>
      <c r="P50" s="4"/>
      <c r="Q50" s="4"/>
      <c r="R50" s="4"/>
      <c r="S50" s="4"/>
      <c r="T50" s="4"/>
      <c r="U50" s="4"/>
      <c r="V50" s="4"/>
      <c r="W50" s="5"/>
      <c r="AA50" s="25"/>
      <c r="AB50" s="25"/>
    </row>
    <row r="51" spans="1:28" ht="15.75" thickBot="1">
      <c r="A51" s="3">
        <v>14</v>
      </c>
      <c r="B51" s="26">
        <v>276.3</v>
      </c>
      <c r="C51" s="26">
        <v>84</v>
      </c>
      <c r="D51" s="4">
        <f>IF(B51,B51-$C$4," ")</f>
        <v>6.3000000000000114</v>
      </c>
      <c r="E51" s="4">
        <f>IF(B51,INT(D51)," ")</f>
        <v>6</v>
      </c>
      <c r="F51" s="4">
        <f>IF(B51,((D51-E51)/60*100)," ")</f>
        <v>0.50000000000001887</v>
      </c>
      <c r="G51" s="4">
        <f>IF(B51,C51*COS(PI()/180*(E51+F51))," ")</f>
        <v>83.460035876833345</v>
      </c>
      <c r="H51" s="4">
        <f>IF(B51,(C51*SIN(PI()/180*(E51+F51)))," ")</f>
        <v>9.5090699565041916</v>
      </c>
      <c r="I51" s="4"/>
      <c r="J51" s="4"/>
      <c r="K51" s="4">
        <f t="shared" si="4"/>
        <v>-32.682727798736195</v>
      </c>
      <c r="L51" s="4">
        <f t="shared" si="5"/>
        <v>-9.6960559867296361</v>
      </c>
      <c r="M51" s="4">
        <f t="shared" si="6"/>
        <v>1068.1606963662837</v>
      </c>
      <c r="N51" s="4">
        <f t="shared" si="7"/>
        <v>94.013501697795618</v>
      </c>
      <c r="O51" s="4"/>
      <c r="P51" s="4"/>
      <c r="Q51" s="4"/>
      <c r="R51" s="4"/>
      <c r="S51" s="4"/>
      <c r="T51" s="4"/>
      <c r="U51" s="4"/>
      <c r="V51" s="4"/>
      <c r="W51" s="5"/>
      <c r="AA51" s="25"/>
      <c r="AB51" s="25"/>
    </row>
    <row r="52" spans="1:28">
      <c r="A52" s="3">
        <v>15</v>
      </c>
      <c r="B52" s="25">
        <v>276.3</v>
      </c>
      <c r="C52" s="25">
        <v>84</v>
      </c>
      <c r="D52" s="4">
        <f>IF(B52,B52-$C$4," ")</f>
        <v>6.3000000000000114</v>
      </c>
      <c r="E52" s="4">
        <f>IF(B52,INT(D52)," ")</f>
        <v>6</v>
      </c>
      <c r="F52" s="4">
        <f>IF(B52,((D52-E52)/60*100)," ")</f>
        <v>0.50000000000001887</v>
      </c>
      <c r="G52" s="4">
        <f>IF(B52,C52*COS(PI()/180*(E52+F52))," ")</f>
        <v>83.460035876833345</v>
      </c>
      <c r="H52" s="4">
        <f>IF(B52,(C52*SIN(PI()/180*(E52+F52)))," ")</f>
        <v>9.5090699565041916</v>
      </c>
      <c r="I52" s="4"/>
      <c r="J52" s="4"/>
      <c r="K52" s="4">
        <f t="shared" si="4"/>
        <v>-32.682727798736195</v>
      </c>
      <c r="L52" s="4">
        <f t="shared" si="5"/>
        <v>-9.6960559867296361</v>
      </c>
      <c r="M52" s="4">
        <f t="shared" si="6"/>
        <v>1068.1606963662837</v>
      </c>
      <c r="N52" s="4">
        <f t="shared" si="7"/>
        <v>94.013501697795618</v>
      </c>
      <c r="O52" s="4"/>
      <c r="P52" s="4"/>
      <c r="Q52" s="4"/>
      <c r="R52" s="4"/>
      <c r="S52" s="4"/>
      <c r="T52" s="4"/>
      <c r="U52" s="4"/>
      <c r="V52" s="4"/>
      <c r="W52" s="5"/>
      <c r="AA52" s="25"/>
      <c r="AB52" s="25"/>
    </row>
    <row r="53" spans="1:28">
      <c r="A53" s="3">
        <v>16</v>
      </c>
      <c r="B53" s="25">
        <v>288.3</v>
      </c>
      <c r="C53" s="25">
        <v>102</v>
      </c>
      <c r="D53" s="4">
        <f>IF(B53,B53-$C$4," ")</f>
        <v>18.300000000000011</v>
      </c>
      <c r="E53" s="4">
        <f>IF(B53,INT(D53)," ")</f>
        <v>18</v>
      </c>
      <c r="F53" s="4">
        <f>IF(B53,((D53-E53)/60*100)," ")</f>
        <v>0.50000000000001887</v>
      </c>
      <c r="G53" s="4">
        <f>IF(B53,C53*COS(PI()/180*(E53+F53))," ")</f>
        <v>96.729012831032321</v>
      </c>
      <c r="H53" s="4">
        <f>IF(B53,(C53*SIN(PI()/180*(E53+F53)))," ")</f>
        <v>32.365074953319429</v>
      </c>
      <c r="I53" s="4"/>
      <c r="J53" s="4"/>
      <c r="K53" s="4">
        <f t="shared" si="4"/>
        <v>-19.413750844537219</v>
      </c>
      <c r="L53" s="4">
        <f t="shared" si="5"/>
        <v>13.159949010085601</v>
      </c>
      <c r="M53" s="4">
        <f t="shared" si="6"/>
        <v>376.89372185376959</v>
      </c>
      <c r="N53" s="4">
        <f t="shared" si="7"/>
        <v>173.18425794805299</v>
      </c>
      <c r="O53" s="4"/>
      <c r="P53" s="4"/>
      <c r="Q53" s="4"/>
      <c r="R53" s="4"/>
      <c r="S53" s="4"/>
      <c r="T53" s="4"/>
      <c r="U53" s="4"/>
      <c r="V53" s="4"/>
      <c r="W53" s="5"/>
      <c r="AA53" s="25"/>
      <c r="AB53" s="25"/>
    </row>
    <row r="54" spans="1:28" ht="15.75" thickBot="1">
      <c r="A54" s="3">
        <v>17</v>
      </c>
      <c r="B54" s="25"/>
      <c r="C54" s="25"/>
      <c r="D54" s="4" t="str">
        <f>IF(B54,B54-$C$4," ")</f>
        <v xml:space="preserve"> </v>
      </c>
      <c r="E54" s="4" t="str">
        <f>IF(B54,INT(D54)," ")</f>
        <v xml:space="preserve"> </v>
      </c>
      <c r="F54" s="4" t="str">
        <f>IF(B54,((D54-E54)/60*100)," ")</f>
        <v xml:space="preserve"> </v>
      </c>
      <c r="G54" s="4" t="str">
        <f>IF(B54,C54*COS(PI()/180*(E54+F54))," ")</f>
        <v xml:space="preserve"> </v>
      </c>
      <c r="H54" s="4" t="str">
        <f>IF(B54,(C54*SIN(PI()/180*(E54+F54)))," ")</f>
        <v xml:space="preserve"> </v>
      </c>
      <c r="I54" s="4"/>
      <c r="J54" s="4"/>
      <c r="K54" s="4" t="str">
        <f t="shared" si="4"/>
        <v xml:space="preserve"> </v>
      </c>
      <c r="L54" s="4" t="str">
        <f t="shared" si="5"/>
        <v xml:space="preserve"> </v>
      </c>
      <c r="M54" s="4" t="str">
        <f t="shared" si="6"/>
        <v xml:space="preserve"> </v>
      </c>
      <c r="N54" s="4" t="str">
        <f t="shared" si="7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  <c r="AA54" s="26"/>
      <c r="AB54" s="25"/>
    </row>
    <row r="55" spans="1:28">
      <c r="A55" s="3">
        <v>18</v>
      </c>
      <c r="B55" s="25"/>
      <c r="C55" s="25"/>
      <c r="D55" s="4" t="str">
        <f>IF(B55,B55-$C$4," ")</f>
        <v xml:space="preserve"> </v>
      </c>
      <c r="E55" s="4" t="str">
        <f>IF(B55,INT(D55)," ")</f>
        <v xml:space="preserve"> </v>
      </c>
      <c r="F55" s="4" t="str">
        <f>IF(B55,((D55-E55)/60*100)," ")</f>
        <v xml:space="preserve"> </v>
      </c>
      <c r="G55" s="4" t="str">
        <f>IF(B55,C55*COS(PI()/180*(E55+F55))," ")</f>
        <v xml:space="preserve"> </v>
      </c>
      <c r="H55" s="4" t="str">
        <f>IF(B55,(C55*SIN(PI()/180*(E55+F55)))," ")</f>
        <v xml:space="preserve"> </v>
      </c>
      <c r="I55" s="4"/>
      <c r="J55" s="4"/>
      <c r="K55" s="4" t="str">
        <f t="shared" si="4"/>
        <v xml:space="preserve"> </v>
      </c>
      <c r="L55" s="4" t="str">
        <f t="shared" si="5"/>
        <v xml:space="preserve"> </v>
      </c>
      <c r="M55" s="4" t="str">
        <f t="shared" si="6"/>
        <v xml:space="preserve"> </v>
      </c>
      <c r="N55" s="4" t="str">
        <f t="shared" si="7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  <c r="AA55" s="25"/>
      <c r="AB55" s="25"/>
    </row>
    <row r="56" spans="1:28" ht="15.75" thickBot="1">
      <c r="A56" s="3">
        <v>19</v>
      </c>
      <c r="B56" s="25"/>
      <c r="C56" s="25"/>
      <c r="D56" s="4" t="str">
        <f>IF(B56,B56-$C$4," ")</f>
        <v xml:space="preserve"> </v>
      </c>
      <c r="E56" s="4" t="str">
        <f>IF(B56,INT(D56)," ")</f>
        <v xml:space="preserve"> </v>
      </c>
      <c r="F56" s="4" t="str">
        <f>IF(B56,((D56-E56)/60*100)," ")</f>
        <v xml:space="preserve"> </v>
      </c>
      <c r="G56" s="4" t="str">
        <f>IF(B56,C56*COS(PI()/180*(E56+F56))," ")</f>
        <v xml:space="preserve"> </v>
      </c>
      <c r="H56" s="4" t="str">
        <f>IF(B56,(C56*SIN(PI()/180*(E56+F56)))," ")</f>
        <v xml:space="preserve"> </v>
      </c>
      <c r="I56" s="4"/>
      <c r="J56" s="4"/>
      <c r="K56" s="4" t="str">
        <f t="shared" si="4"/>
        <v xml:space="preserve"> </v>
      </c>
      <c r="L56" s="4" t="str">
        <f t="shared" si="5"/>
        <v xml:space="preserve"> </v>
      </c>
      <c r="M56" s="4" t="str">
        <f t="shared" si="6"/>
        <v xml:space="preserve"> </v>
      </c>
      <c r="N56" s="4" t="str">
        <f t="shared" si="7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  <c r="AA56" s="26"/>
      <c r="AB56" s="26"/>
    </row>
    <row r="57" spans="1:28" ht="15.75" thickBot="1">
      <c r="A57" s="3">
        <v>20</v>
      </c>
      <c r="B57" s="25"/>
      <c r="C57" s="25"/>
      <c r="D57" s="4" t="str">
        <f>IF(B57,B57-$C$4," ")</f>
        <v xml:space="preserve"> </v>
      </c>
      <c r="E57" s="4" t="str">
        <f>IF(B57,INT(D57)," ")</f>
        <v xml:space="preserve"> </v>
      </c>
      <c r="F57" s="4" t="str">
        <f>IF(B57,((D57-E57)/60*100)," ")</f>
        <v xml:space="preserve"> </v>
      </c>
      <c r="G57" s="4" t="str">
        <f>IF(B57,C57*COS(PI()/180*(E57+F57))," ")</f>
        <v xml:space="preserve"> </v>
      </c>
      <c r="H57" s="4" t="str">
        <f>IF(B57,(C57*SIN(PI()/180*(E57+F57)))," ")</f>
        <v xml:space="preserve"> </v>
      </c>
      <c r="I57" s="4"/>
      <c r="J57" s="4"/>
      <c r="K57" s="4" t="str">
        <f t="shared" si="4"/>
        <v xml:space="preserve"> </v>
      </c>
      <c r="L57" s="4" t="str">
        <f t="shared" si="5"/>
        <v xml:space="preserve"> </v>
      </c>
      <c r="M57" s="4" t="str">
        <f t="shared" si="6"/>
        <v xml:space="preserve"> </v>
      </c>
      <c r="N57" s="4" t="str">
        <f t="shared" si="7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  <c r="AA57" s="26"/>
    </row>
    <row r="58" spans="1:28">
      <c r="A58" s="3">
        <v>21</v>
      </c>
      <c r="B58" s="25"/>
      <c r="C58" s="25"/>
      <c r="D58" s="4" t="str">
        <f>IF(B58,B58-$C$4," ")</f>
        <v xml:space="preserve"> </v>
      </c>
      <c r="E58" s="4" t="str">
        <f>IF(B58,INT(D58)," ")</f>
        <v xml:space="preserve"> </v>
      </c>
      <c r="F58" s="4" t="str">
        <f>IF(B58,((D58-E58)/60*100)," ")</f>
        <v xml:space="preserve"> </v>
      </c>
      <c r="G58" s="4" t="str">
        <f>IF(B58,C58*COS(PI()/180*(E58+F58))," ")</f>
        <v xml:space="preserve"> </v>
      </c>
      <c r="H58" s="4" t="str">
        <f>IF(B58,(C58*SIN(PI()/180*(E58+F58)))," ")</f>
        <v xml:space="preserve"> </v>
      </c>
      <c r="I58" s="4"/>
      <c r="J58" s="4"/>
      <c r="K58" s="4" t="str">
        <f t="shared" si="4"/>
        <v xml:space="preserve"> </v>
      </c>
      <c r="L58" s="4" t="str">
        <f t="shared" si="5"/>
        <v xml:space="preserve"> </v>
      </c>
      <c r="M58" s="4" t="str">
        <f t="shared" si="6"/>
        <v xml:space="preserve"> </v>
      </c>
      <c r="N58" s="4" t="str">
        <f t="shared" si="7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8">
      <c r="A59" s="3">
        <v>22</v>
      </c>
      <c r="B59" s="25"/>
      <c r="C59" s="25"/>
      <c r="D59" s="4" t="str">
        <f>IF(B59,B59-$C$4," ")</f>
        <v xml:space="preserve"> </v>
      </c>
      <c r="E59" s="4" t="str">
        <f>IF(B59,INT(D59)," ")</f>
        <v xml:space="preserve"> </v>
      </c>
      <c r="F59" s="4" t="str">
        <f>IF(B59,((D59-E59)/60*100)," ")</f>
        <v xml:space="preserve"> </v>
      </c>
      <c r="G59" s="4" t="str">
        <f>IF(B59,C59*COS(PI()/180*(E59+F59))," ")</f>
        <v xml:space="preserve"> </v>
      </c>
      <c r="H59" s="4" t="str">
        <f>IF(B59,(C59*SIN(PI()/180*(E59+F59)))," ")</f>
        <v xml:space="preserve"> </v>
      </c>
      <c r="I59" s="4"/>
      <c r="J59" s="4"/>
      <c r="K59" s="4" t="str">
        <f t="shared" si="4"/>
        <v xml:space="preserve"> </v>
      </c>
      <c r="L59" s="4" t="str">
        <f t="shared" si="5"/>
        <v xml:space="preserve"> </v>
      </c>
      <c r="M59" s="4" t="str">
        <f t="shared" si="6"/>
        <v xml:space="preserve"> </v>
      </c>
      <c r="N59" s="4" t="str">
        <f t="shared" si="7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8">
      <c r="A60" s="3">
        <v>23</v>
      </c>
      <c r="B60" s="25"/>
      <c r="C60" s="25"/>
      <c r="D60" s="4" t="str">
        <f>IF(B60,B60-$C$4," ")</f>
        <v xml:space="preserve"> </v>
      </c>
      <c r="E60" s="4" t="str">
        <f>IF(B60,INT(D60)," ")</f>
        <v xml:space="preserve"> </v>
      </c>
      <c r="F60" s="4" t="str">
        <f>IF(B60,((D60-E60)/60*100)," ")</f>
        <v xml:space="preserve"> </v>
      </c>
      <c r="G60" s="4" t="str">
        <f>IF(B60,C60*COS(PI()/180*(E60+F60))," ")</f>
        <v xml:space="preserve"> </v>
      </c>
      <c r="H60" s="4" t="str">
        <f>IF(B60,(C60*SIN(PI()/180*(E60+F60)))," ")</f>
        <v xml:space="preserve"> </v>
      </c>
      <c r="I60" s="4"/>
      <c r="J60" s="4"/>
      <c r="K60" s="4" t="str">
        <f t="shared" si="4"/>
        <v xml:space="preserve"> </v>
      </c>
      <c r="L60" s="4" t="str">
        <f t="shared" si="5"/>
        <v xml:space="preserve"> </v>
      </c>
      <c r="M60" s="4" t="str">
        <f t="shared" si="6"/>
        <v xml:space="preserve"> </v>
      </c>
      <c r="N60" s="4" t="str">
        <f t="shared" si="7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8" ht="15.75" thickBot="1">
      <c r="A61" s="6">
        <v>24</v>
      </c>
      <c r="B61" s="26"/>
      <c r="C61" s="26"/>
      <c r="D61" s="7" t="str">
        <f>IF(B61,B61-$C$4," ")</f>
        <v xml:space="preserve"> </v>
      </c>
      <c r="E61" s="7" t="str">
        <f>IF(B61,INT(D61)," ")</f>
        <v xml:space="preserve"> </v>
      </c>
      <c r="F61" s="7" t="str">
        <f>IF(B61,((D61-E61)/60*100)," ")</f>
        <v xml:space="preserve"> </v>
      </c>
      <c r="G61" s="7" t="str">
        <f>IF(B61,C61*COS(PI()/180*(E61+F61))," ")</f>
        <v xml:space="preserve"> </v>
      </c>
      <c r="H61" s="7" t="str">
        <f>IF(B61,(C61*SIN(PI()/180*(E61+F61)))," ")</f>
        <v xml:space="preserve"> </v>
      </c>
      <c r="I61" s="7"/>
      <c r="J61" s="7"/>
      <c r="K61" s="7" t="str">
        <f t="shared" si="4"/>
        <v xml:space="preserve"> </v>
      </c>
      <c r="L61" s="7" t="str">
        <f t="shared" si="5"/>
        <v xml:space="preserve"> </v>
      </c>
      <c r="M61" s="7" t="str">
        <f t="shared" si="6"/>
        <v xml:space="preserve"> </v>
      </c>
      <c r="N61" s="7" t="str">
        <f t="shared" si="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8" ht="19.5" thickBot="1">
      <c r="A62" s="115" t="s">
        <v>79</v>
      </c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8" ht="30">
      <c r="A63" s="1" t="s">
        <v>2</v>
      </c>
      <c r="B63" s="23" t="s">
        <v>0</v>
      </c>
      <c r="C63" s="23" t="s">
        <v>1</v>
      </c>
      <c r="D63" s="11" t="s">
        <v>51</v>
      </c>
      <c r="E63" s="2" t="s">
        <v>4</v>
      </c>
      <c r="F63" s="11" t="s">
        <v>5</v>
      </c>
      <c r="G63" s="2" t="s">
        <v>3</v>
      </c>
      <c r="H63" s="2" t="s">
        <v>21</v>
      </c>
      <c r="I63" s="2" t="s">
        <v>6</v>
      </c>
      <c r="J63" s="2" t="s">
        <v>7</v>
      </c>
      <c r="K63" s="2" t="s">
        <v>8</v>
      </c>
      <c r="L63" s="2" t="s">
        <v>9</v>
      </c>
      <c r="M63" s="2" t="s">
        <v>10</v>
      </c>
      <c r="N63" s="2" t="s">
        <v>11</v>
      </c>
      <c r="O63" s="2" t="s">
        <v>12</v>
      </c>
      <c r="P63" s="2" t="s">
        <v>13</v>
      </c>
      <c r="Q63" s="2" t="s">
        <v>14</v>
      </c>
      <c r="R63" s="2" t="s">
        <v>15</v>
      </c>
      <c r="S63" s="2" t="s">
        <v>16</v>
      </c>
      <c r="T63" s="12" t="s">
        <v>17</v>
      </c>
      <c r="U63" s="12" t="s">
        <v>18</v>
      </c>
      <c r="V63" s="13" t="s">
        <v>19</v>
      </c>
      <c r="W63" s="9" t="s">
        <v>22</v>
      </c>
    </row>
    <row r="64" spans="1:28">
      <c r="A64" s="3">
        <v>1</v>
      </c>
      <c r="B64" s="25">
        <v>194.1</v>
      </c>
      <c r="C64" s="25">
        <v>90</v>
      </c>
      <c r="D64" s="4">
        <f>IF(B64,B64-$C$4," ")</f>
        <v>-75.900000000000006</v>
      </c>
      <c r="E64" s="4">
        <f>IF(B64,INT(D64)," ")</f>
        <v>-76</v>
      </c>
      <c r="F64" s="4">
        <f>IF(B64,((D64-E64)/60*100)," ")</f>
        <v>0.16666666666665719</v>
      </c>
      <c r="G64" s="4">
        <f>IF(B64,C64*COS(PI()/180*(E64+F64))," ")</f>
        <v>22.026900955889133</v>
      </c>
      <c r="H64" s="4">
        <f>IF(B64,(C64*SIN(PI()/180*(E64+F64)))," ")</f>
        <v>-87.262910989030445</v>
      </c>
      <c r="I64" s="4">
        <f>SUM(G64:G87)/F6</f>
        <v>32.111370094927622</v>
      </c>
      <c r="J64" s="4">
        <f>SUM(H64:H87)/F6</f>
        <v>-90.543462060556095</v>
      </c>
      <c r="K64" s="4">
        <f t="shared" ref="K64:K91" si="8">IF(B64,SUM(G64,-$I$12)," ")</f>
        <v>-94.115862719680408</v>
      </c>
      <c r="L64" s="4">
        <f t="shared" ref="L64:L91" si="9">IF(B64,SUM(H64,-$J$12)," ")</f>
        <v>-106.46803693226427</v>
      </c>
      <c r="M64" s="4">
        <f t="shared" ref="M64:M91" si="10">IF(B64,POWER(K64,2)," ")</f>
        <v>8857.7956154697276</v>
      </c>
      <c r="N64" s="4">
        <f t="shared" ref="N64:N91" si="11">IF(B64,POWER(L64,2)," ")</f>
        <v>11335.442888209989</v>
      </c>
      <c r="O64" s="4">
        <f>E32-1</f>
        <v>2</v>
      </c>
      <c r="P64" s="4">
        <f>SUM(M64:M87)</f>
        <v>117287.85783652688</v>
      </c>
      <c r="Q64" s="4">
        <f>SUM(N64:N87)</f>
        <v>194860.44719780263</v>
      </c>
      <c r="R64" s="4">
        <f>PRODUCT(P64,1/$O$38)</f>
        <v>7819.1905224351249</v>
      </c>
      <c r="S64" s="4">
        <f>PRODUCT(Q64,1/$O$38)</f>
        <v>12990.696479853508</v>
      </c>
      <c r="T64" s="4">
        <f>SQRT(R64)</f>
        <v>88.426186859069773</v>
      </c>
      <c r="U64" s="4">
        <f>SQRT(S64)</f>
        <v>113.97673657309858</v>
      </c>
      <c r="V64" s="4">
        <f>PRODUCT(T64:U64)</f>
        <v>10078.528205799787</v>
      </c>
      <c r="W64" s="10">
        <f>SQRT(V64)</f>
        <v>100.39187320595121</v>
      </c>
    </row>
    <row r="65" spans="1:29">
      <c r="A65" s="3">
        <v>2</v>
      </c>
      <c r="B65" s="25">
        <v>193.45</v>
      </c>
      <c r="C65" s="25">
        <v>102</v>
      </c>
      <c r="D65" s="4">
        <f>IF(B65,B65-$C$4," ")</f>
        <v>-76.550000000000011</v>
      </c>
      <c r="E65" s="4">
        <f>IF(B65,INT(D65)," ")</f>
        <v>-77</v>
      </c>
      <c r="F65" s="4">
        <f>IF(B65,((D65-E65)/60*100)," ")</f>
        <v>0.74999999999998102</v>
      </c>
      <c r="G65" s="4">
        <f>IF(B65,C65*COS(PI()/180*(E65+F65))," ")</f>
        <v>24.243961017269633</v>
      </c>
      <c r="H65" s="4">
        <f>IF(B65,(C65*SIN(PI()/180*(E65+F65)))," ")</f>
        <v>-99.076891120952666</v>
      </c>
      <c r="I65" s="4"/>
      <c r="J65" s="4"/>
      <c r="K65" s="4">
        <f t="shared" si="8"/>
        <v>-91.8988026582999</v>
      </c>
      <c r="L65" s="4">
        <f t="shared" si="9"/>
        <v>-118.28201706418649</v>
      </c>
      <c r="M65" s="4">
        <f t="shared" si="10"/>
        <v>8445.3899300291487</v>
      </c>
      <c r="N65" s="4">
        <f t="shared" si="11"/>
        <v>13990.635560772504</v>
      </c>
      <c r="O65" s="4"/>
      <c r="P65" s="4"/>
      <c r="Q65" s="4"/>
      <c r="R65" s="4"/>
      <c r="S65" s="4"/>
      <c r="T65" s="4"/>
      <c r="U65" s="4"/>
      <c r="V65" s="4"/>
      <c r="W65" s="5"/>
      <c r="AB65" s="30"/>
      <c r="AC65" s="30"/>
    </row>
    <row r="66" spans="1:29">
      <c r="A66" s="3">
        <v>3</v>
      </c>
      <c r="B66" s="25">
        <v>195.55</v>
      </c>
      <c r="C66" s="25">
        <v>94</v>
      </c>
      <c r="D66" s="4">
        <f>IF(B66,B66-$C$4," ")</f>
        <v>-74.449999999999989</v>
      </c>
      <c r="E66" s="4">
        <f>IF(B66,INT(D66)," ")</f>
        <v>-75</v>
      </c>
      <c r="F66" s="4">
        <f>IF(B66,((D66-E66)/60*100)," ")</f>
        <v>0.91666666666668561</v>
      </c>
      <c r="G66" s="4">
        <f>IF(B66,C66*COS(PI()/180*(E66+F66))," ")</f>
        <v>25.778462832628872</v>
      </c>
      <c r="H66" s="4">
        <f>IF(B66,(C66*SIN(PI()/180*(E66+F66)))," ")</f>
        <v>-90.396188271335703</v>
      </c>
      <c r="I66" s="4"/>
      <c r="J66" s="4"/>
      <c r="K66" s="4">
        <f t="shared" si="8"/>
        <v>-90.364300842940665</v>
      </c>
      <c r="L66" s="4">
        <f t="shared" si="9"/>
        <v>-109.60131421456953</v>
      </c>
      <c r="M66" s="4">
        <f t="shared" si="10"/>
        <v>8165.7068668334869</v>
      </c>
      <c r="N66" s="4">
        <f t="shared" si="11"/>
        <v>12012.448077560801</v>
      </c>
      <c r="O66" s="4"/>
      <c r="P66" s="4"/>
      <c r="Q66" s="4"/>
      <c r="R66" s="4"/>
      <c r="S66" s="4"/>
      <c r="T66" s="4"/>
      <c r="U66" s="4"/>
      <c r="V66" s="4"/>
      <c r="W66" s="5"/>
      <c r="AB66" s="30"/>
      <c r="AC66" s="30"/>
    </row>
    <row r="67" spans="1:29">
      <c r="A67" s="3">
        <v>4</v>
      </c>
      <c r="B67" s="25">
        <v>197.35</v>
      </c>
      <c r="C67" s="25">
        <v>86</v>
      </c>
      <c r="D67" s="4">
        <f>IF(B67,B67-$C$4," ")</f>
        <v>-72.650000000000006</v>
      </c>
      <c r="E67" s="4">
        <f>IF(B67,INT(D67)," ")</f>
        <v>-73</v>
      </c>
      <c r="F67" s="4">
        <f>IF(B67,((D67-E67)/60*100)," ")</f>
        <v>0.58333333333332382</v>
      </c>
      <c r="G67" s="4">
        <f>IF(B67,C67*COS(PI()/180*(E67+F67))," ")</f>
        <v>25.979964119081021</v>
      </c>
      <c r="H67" s="4">
        <f>IF(B67,(C67*SIN(PI()/180*(E67+F67)))," ")</f>
        <v>-81.981958163801266</v>
      </c>
      <c r="I67" s="4"/>
      <c r="J67" s="4"/>
      <c r="K67" s="4">
        <f t="shared" si="8"/>
        <v>-90.162799556488523</v>
      </c>
      <c r="L67" s="4">
        <f t="shared" si="9"/>
        <v>-101.18708410703509</v>
      </c>
      <c r="M67" s="4">
        <f t="shared" si="10"/>
        <v>8129.3304238635274</v>
      </c>
      <c r="N67" s="4">
        <f t="shared" si="11"/>
        <v>10238.825990084193</v>
      </c>
      <c r="O67" s="4"/>
      <c r="P67" s="4"/>
      <c r="Q67" s="4"/>
      <c r="R67" s="4"/>
      <c r="S67" s="4"/>
      <c r="T67" s="4"/>
      <c r="U67" s="4"/>
      <c r="V67" s="4"/>
      <c r="W67" s="5"/>
      <c r="AB67" s="30"/>
      <c r="AC67" s="30"/>
    </row>
    <row r="68" spans="1:29">
      <c r="A68" s="3">
        <v>5</v>
      </c>
      <c r="B68" s="25">
        <v>199.3</v>
      </c>
      <c r="C68" s="25">
        <v>86</v>
      </c>
      <c r="D68" s="4">
        <f>IF(B68,B68-$C$4," ")</f>
        <v>-70.699999999999989</v>
      </c>
      <c r="E68" s="4">
        <f>IF(B68,INT(D68)," ")</f>
        <v>-71</v>
      </c>
      <c r="F68" s="4">
        <f>IF(B68,((D68-E68)/60*100)," ")</f>
        <v>0.50000000000001887</v>
      </c>
      <c r="G68" s="4">
        <f>IF(B68,C68*COS(PI()/180*(E68+F68))," ")</f>
        <v>28.707389894104317</v>
      </c>
      <c r="H68" s="4">
        <f>IF(B68,(C68*SIN(PI()/180*(E68+F68)))," ")</f>
        <v>-81.067168233927333</v>
      </c>
      <c r="I68" s="4"/>
      <c r="J68" s="4"/>
      <c r="K68" s="4">
        <f t="shared" si="8"/>
        <v>-87.435373781465216</v>
      </c>
      <c r="L68" s="4">
        <f t="shared" si="9"/>
        <v>-100.27229417716116</v>
      </c>
      <c r="M68" s="4">
        <f t="shared" si="10"/>
        <v>7644.9445883045346</v>
      </c>
      <c r="N68" s="4">
        <f t="shared" si="11"/>
        <v>10054.532979551148</v>
      </c>
      <c r="O68" s="4"/>
      <c r="P68" s="4"/>
      <c r="Q68" s="4"/>
      <c r="R68" s="4"/>
      <c r="S68" s="4"/>
      <c r="T68" s="4"/>
      <c r="U68" s="4"/>
      <c r="V68" s="4"/>
      <c r="W68" s="5"/>
      <c r="AB68" s="30"/>
      <c r="AC68" s="30"/>
    </row>
    <row r="69" spans="1:29">
      <c r="A69" s="3">
        <v>6</v>
      </c>
      <c r="B69" s="25">
        <v>200.2</v>
      </c>
      <c r="C69" s="25">
        <v>98</v>
      </c>
      <c r="D69" s="4">
        <f>IF(B69,B69-$C$4," ")</f>
        <v>-69.800000000000011</v>
      </c>
      <c r="E69" s="4">
        <f>IF(B69,INT(D69)," ")</f>
        <v>-70</v>
      </c>
      <c r="F69" s="4">
        <f>IF(B69,((D69-E69)/60*100)," ")</f>
        <v>0.33333333333331439</v>
      </c>
      <c r="G69" s="4">
        <f>IF(B69,C69*COS(PI()/180*(E69+F69))," ")</f>
        <v>34.053160980424835</v>
      </c>
      <c r="H69" s="4">
        <f>IF(B69,(C69*SIN(PI()/180*(E69+F69)))," ")</f>
        <v>-91.893319818370216</v>
      </c>
      <c r="I69" s="4"/>
      <c r="J69" s="4"/>
      <c r="K69" s="4">
        <f t="shared" si="8"/>
        <v>-82.089602695144706</v>
      </c>
      <c r="L69" s="4">
        <f t="shared" si="9"/>
        <v>-111.09844576160404</v>
      </c>
      <c r="M69" s="4">
        <f t="shared" si="10"/>
        <v>6738.702870646709</v>
      </c>
      <c r="N69" s="4">
        <f t="shared" si="11"/>
        <v>12342.864650644075</v>
      </c>
      <c r="O69" s="4"/>
      <c r="P69" s="4"/>
      <c r="Q69" s="4"/>
      <c r="R69" s="4"/>
      <c r="S69" s="4"/>
      <c r="T69" s="4"/>
      <c r="U69" s="4"/>
      <c r="V69" s="4"/>
      <c r="W69" s="5"/>
      <c r="AB69" s="25"/>
      <c r="AC69" s="25"/>
    </row>
    <row r="70" spans="1:29">
      <c r="A70" s="3">
        <v>7</v>
      </c>
      <c r="B70" s="25">
        <v>205.1</v>
      </c>
      <c r="C70" s="25">
        <v>86</v>
      </c>
      <c r="D70" s="4">
        <f>IF(B70,B70-$C$4," ")</f>
        <v>-64.900000000000006</v>
      </c>
      <c r="E70" s="4">
        <f>IF(B70,INT(D70)," ")</f>
        <v>-65</v>
      </c>
      <c r="F70" s="4">
        <f>IF(B70,((D70-E70)/60*100)," ")</f>
        <v>0.16666666666665719</v>
      </c>
      <c r="G70" s="4">
        <f>IF(B70,C70*COS(PI()/180*(E70+F70))," ")</f>
        <v>36.571741874866092</v>
      </c>
      <c r="H70" s="4">
        <f>IF(B70,(C70*SIN(PI()/180*(E70+F70)))," ")</f>
        <v>-77.836416260245215</v>
      </c>
      <c r="I70" s="4"/>
      <c r="J70" s="4"/>
      <c r="K70" s="4">
        <f t="shared" si="8"/>
        <v>-79.571021800703448</v>
      </c>
      <c r="L70" s="4">
        <f t="shared" si="9"/>
        <v>-97.04154220347904</v>
      </c>
      <c r="M70" s="4">
        <f t="shared" si="10"/>
        <v>6331.5475104080233</v>
      </c>
      <c r="N70" s="4">
        <f t="shared" si="11"/>
        <v>9417.0609132296031</v>
      </c>
      <c r="O70" s="4"/>
      <c r="P70" s="4"/>
      <c r="Q70" s="4"/>
      <c r="R70" s="4"/>
      <c r="S70" s="4"/>
      <c r="T70" s="4"/>
      <c r="U70" s="4"/>
      <c r="V70" s="4"/>
      <c r="W70" s="5"/>
      <c r="AB70" s="25"/>
      <c r="AC70" s="25"/>
    </row>
    <row r="71" spans="1:29">
      <c r="A71" s="3">
        <v>8</v>
      </c>
      <c r="B71" s="25">
        <v>201.3</v>
      </c>
      <c r="C71" s="25">
        <v>100</v>
      </c>
      <c r="D71" s="4">
        <f>IF(B71,B71-$C$4," ")</f>
        <v>-68.699999999999989</v>
      </c>
      <c r="E71" s="4">
        <f>IF(B71,INT(D71)," ")</f>
        <v>-69</v>
      </c>
      <c r="F71" s="4">
        <f>IF(B71,((D71-E71)/60*100)," ")</f>
        <v>0.50000000000001887</v>
      </c>
      <c r="G71" s="4">
        <f>IF(B71,C71*COS(PI()/180*(E71+F71))," ")</f>
        <v>36.650122672429752</v>
      </c>
      <c r="H71" s="4">
        <f>IF(B71,(C71*SIN(PI()/180*(E71+F71)))," ")</f>
        <v>-93.041756798202442</v>
      </c>
      <c r="I71" s="4"/>
      <c r="J71" s="4"/>
      <c r="K71" s="4">
        <f t="shared" si="8"/>
        <v>-79.492641003139795</v>
      </c>
      <c r="L71" s="4">
        <f t="shared" si="9"/>
        <v>-112.24688274143627</v>
      </c>
      <c r="M71" s="4">
        <f t="shared" si="10"/>
        <v>6319.0799736540621</v>
      </c>
      <c r="N71" s="4">
        <f t="shared" si="11"/>
        <v>12599.362685169743</v>
      </c>
      <c r="O71" s="4"/>
      <c r="P71" s="4"/>
      <c r="Q71" s="4"/>
      <c r="R71" s="4"/>
      <c r="S71" s="4"/>
      <c r="T71" s="4"/>
      <c r="U71" s="4"/>
      <c r="V71" s="4"/>
      <c r="W71" s="5"/>
      <c r="AB71" s="25"/>
      <c r="AC71" s="25"/>
    </row>
    <row r="72" spans="1:29">
      <c r="A72" s="3">
        <v>9</v>
      </c>
      <c r="B72" s="25">
        <v>209.15</v>
      </c>
      <c r="C72" s="25">
        <v>84</v>
      </c>
      <c r="D72" s="4">
        <f>IF(B72,B72-$C$4," ")</f>
        <v>-60.849999999999994</v>
      </c>
      <c r="E72" s="4">
        <f>IF(B72,INT(D72)," ")</f>
        <v>-61</v>
      </c>
      <c r="F72" s="4">
        <f>IF(B72,((D72-E72)/60*100)," ")</f>
        <v>0.25000000000000944</v>
      </c>
      <c r="G72" s="4">
        <f>IF(B72,C72*COS(PI()/180*(E72+F72))," ")</f>
        <v>41.044184285744215</v>
      </c>
      <c r="H72" s="4">
        <f>IF(B72,(C72*SIN(PI()/180*(E72+F72)))," ")</f>
        <v>-73.289664594114953</v>
      </c>
      <c r="I72" s="4"/>
      <c r="J72" s="4"/>
      <c r="K72" s="4">
        <f t="shared" si="8"/>
        <v>-75.098579389825318</v>
      </c>
      <c r="L72" s="4">
        <f t="shared" si="9"/>
        <v>-92.494790537348777</v>
      </c>
      <c r="M72" s="4">
        <f t="shared" si="10"/>
        <v>5639.7966263698963</v>
      </c>
      <c r="N72" s="4">
        <f t="shared" si="11"/>
        <v>8555.286276548024</v>
      </c>
      <c r="O72" s="4"/>
      <c r="P72" s="4"/>
      <c r="Q72" s="4"/>
      <c r="R72" s="4"/>
      <c r="S72" s="4"/>
      <c r="T72" s="4"/>
      <c r="U72" s="4"/>
      <c r="V72" s="4"/>
      <c r="W72" s="5"/>
      <c r="AB72" s="25"/>
      <c r="AC72" s="25"/>
    </row>
    <row r="73" spans="1:29">
      <c r="A73" s="3">
        <v>10</v>
      </c>
      <c r="B73" s="25">
        <v>212.2</v>
      </c>
      <c r="C73" s="25">
        <v>102</v>
      </c>
      <c r="D73" s="4">
        <f>IF(B73,B73-$C$4," ")</f>
        <v>-57.800000000000011</v>
      </c>
      <c r="E73" s="4">
        <f>IF(B73,INT(D73)," ")</f>
        <v>-58</v>
      </c>
      <c r="F73" s="4">
        <f>IF(B73,((D73-E73)/60*100)," ")</f>
        <v>0.33333333333331439</v>
      </c>
      <c r="G73" s="4">
        <f>IF(B73,C73*COS(PI()/180*(E73+F73))," ")</f>
        <v>54.554089258033727</v>
      </c>
      <c r="H73" s="4">
        <f>IF(B73,(C73*SIN(PI()/180*(E73+F73)))," ")</f>
        <v>-86.184983293068456</v>
      </c>
      <c r="I73" s="4"/>
      <c r="J73" s="4"/>
      <c r="K73" s="4">
        <f t="shared" si="8"/>
        <v>-61.588674417535813</v>
      </c>
      <c r="L73" s="4">
        <f t="shared" si="9"/>
        <v>-105.39010923630228</v>
      </c>
      <c r="M73" s="4">
        <f t="shared" si="10"/>
        <v>3793.1648165092301</v>
      </c>
      <c r="N73" s="4">
        <f t="shared" si="11"/>
        <v>11107.075124839726</v>
      </c>
      <c r="O73" s="4"/>
      <c r="P73" s="4"/>
      <c r="Q73" s="4"/>
      <c r="R73" s="4"/>
      <c r="S73" s="4"/>
      <c r="T73" s="4"/>
      <c r="U73" s="4"/>
      <c r="V73" s="4"/>
      <c r="W73" s="5"/>
      <c r="AB73" s="25"/>
      <c r="AC73" s="25"/>
    </row>
    <row r="74" spans="1:29">
      <c r="A74" s="3">
        <v>11</v>
      </c>
      <c r="B74" s="25">
        <v>213</v>
      </c>
      <c r="C74" s="25">
        <v>104</v>
      </c>
      <c r="D74" s="4">
        <f>IF(B74,B74-$C$4," ")</f>
        <v>-57</v>
      </c>
      <c r="E74" s="4">
        <f>IF(B74,INT(D74)," ")</f>
        <v>-57</v>
      </c>
      <c r="F74" s="4">
        <f>IF(B74,((D74-E74)/60*100)," ")</f>
        <v>0</v>
      </c>
      <c r="G74" s="4">
        <f>IF(B74,C74*COS(PI()/180*(E74+F74))," ")</f>
        <v>56.642459641562816</v>
      </c>
      <c r="H74" s="4">
        <f>IF(B74,(C74*SIN(PI()/180*(E74+F74)))," ")</f>
        <v>-87.221739066324105</v>
      </c>
      <c r="I74" s="4"/>
      <c r="J74" s="4"/>
      <c r="K74" s="4">
        <f t="shared" si="8"/>
        <v>-59.500304034006724</v>
      </c>
      <c r="L74" s="4">
        <f t="shared" si="9"/>
        <v>-106.42686500955793</v>
      </c>
      <c r="M74" s="4">
        <f t="shared" si="10"/>
        <v>3540.2861801392369</v>
      </c>
      <c r="N74" s="4">
        <f t="shared" si="11"/>
        <v>11326.677595762665</v>
      </c>
      <c r="O74" s="4"/>
      <c r="P74" s="4"/>
      <c r="Q74" s="4"/>
      <c r="R74" s="4"/>
      <c r="S74" s="4"/>
      <c r="T74" s="4"/>
      <c r="U74" s="4"/>
      <c r="V74" s="4"/>
      <c r="W74" s="5"/>
      <c r="AB74" s="25"/>
      <c r="AC74" s="25"/>
    </row>
    <row r="75" spans="1:29">
      <c r="A75" s="3">
        <v>12</v>
      </c>
      <c r="B75" s="25">
        <v>212.1</v>
      </c>
      <c r="C75" s="25">
        <v>112</v>
      </c>
      <c r="D75" s="4">
        <f>IF(B75,B75-$C$4," ")</f>
        <v>-57.900000000000006</v>
      </c>
      <c r="E75" s="4">
        <f>IF(B75,INT(D75)," ")</f>
        <v>-58</v>
      </c>
      <c r="F75" s="4">
        <f>IF(B75,((D75-E75)/60*100)," ")</f>
        <v>0.16666666666665719</v>
      </c>
      <c r="G75" s="4">
        <f>IF(B75,C75*COS(PI()/180*(E75+F75))," ")</f>
        <v>59.626995757311192</v>
      </c>
      <c r="H75" s="4">
        <f>IF(B75,(C75*SIN(PI()/180*(E75+F75)))," ")</f>
        <v>-94.808340228893329</v>
      </c>
      <c r="I75" s="4"/>
      <c r="J75" s="4"/>
      <c r="K75" s="4">
        <f t="shared" si="8"/>
        <v>-56.515767918258348</v>
      </c>
      <c r="L75" s="4">
        <f t="shared" si="9"/>
        <v>-114.01346617212715</v>
      </c>
      <c r="M75" s="4">
        <f t="shared" si="10"/>
        <v>3194.0320233904395</v>
      </c>
      <c r="N75" s="4">
        <f t="shared" si="11"/>
        <v>12999.070468582782</v>
      </c>
      <c r="O75" s="4"/>
      <c r="P75" s="4"/>
      <c r="Q75" s="4"/>
      <c r="R75" s="4"/>
      <c r="S75" s="4"/>
      <c r="T75" s="4"/>
      <c r="U75" s="4"/>
      <c r="V75" s="4"/>
      <c r="W75" s="5"/>
      <c r="AB75" s="25"/>
      <c r="AC75" s="25"/>
    </row>
    <row r="76" spans="1:29">
      <c r="A76" s="3">
        <v>13</v>
      </c>
      <c r="B76" s="30">
        <v>181.45</v>
      </c>
      <c r="C76" s="30">
        <v>84</v>
      </c>
      <c r="D76" s="4">
        <f>IF(B76,B76-$C$4," ")</f>
        <v>-88.550000000000011</v>
      </c>
      <c r="E76" s="4">
        <f>IF(B76,INT(D76)," ")</f>
        <v>-89</v>
      </c>
      <c r="F76" s="4">
        <f>IF(B76,((D76-E76)/60*100)," ")</f>
        <v>0.74999999999998102</v>
      </c>
      <c r="G76" s="4">
        <f>IF(B76,C76*COS(PI()/180*(E76+F76))," ")</f>
        <v>2.5652351096250796</v>
      </c>
      <c r="H76" s="4">
        <f>IF(B76,(C76*SIN(PI()/180*(E76+F76)))," ")</f>
        <v>-83.960821630283888</v>
      </c>
      <c r="I76" s="4"/>
      <c r="J76" s="4"/>
      <c r="K76" s="4">
        <f t="shared" si="8"/>
        <v>-113.57752856594446</v>
      </c>
      <c r="L76" s="4">
        <f t="shared" si="9"/>
        <v>-103.16594757351771</v>
      </c>
      <c r="M76" s="4">
        <f t="shared" si="10"/>
        <v>12899.854995147931</v>
      </c>
      <c r="N76" s="4">
        <f t="shared" si="11"/>
        <v>10643.212738741806</v>
      </c>
      <c r="O76" s="4"/>
      <c r="P76" s="4"/>
      <c r="Q76" s="4"/>
      <c r="R76" s="4"/>
      <c r="S76" s="4"/>
      <c r="T76" s="4"/>
      <c r="U76" s="4"/>
      <c r="V76" s="4"/>
      <c r="W76" s="5"/>
      <c r="AB76" s="25"/>
      <c r="AC76" s="25"/>
    </row>
    <row r="77" spans="1:29">
      <c r="A77" s="3">
        <v>14</v>
      </c>
      <c r="B77" s="30">
        <v>184.05</v>
      </c>
      <c r="C77" s="30">
        <v>126</v>
      </c>
      <c r="D77" s="4">
        <f>IF(B77,B77-$C$4," ")</f>
        <v>-85.949999999999989</v>
      </c>
      <c r="E77" s="4">
        <f>IF(B77,INT(D77)," ")</f>
        <v>-86</v>
      </c>
      <c r="F77" s="4">
        <f>IF(B77,((D77-E77)/60*100)," ")</f>
        <v>8.3333333333352286E-2</v>
      </c>
      <c r="G77" s="4">
        <f>IF(B77,C77*COS(PI()/180*(E77+F77))," ")</f>
        <v>8.9721194912079074</v>
      </c>
      <c r="H77" s="4">
        <f>IF(B77,(C77*SIN(PI()/180*(E77+F77)))," ")</f>
        <v>-125.68015385030164</v>
      </c>
      <c r="I77" s="4"/>
      <c r="J77" s="4"/>
      <c r="K77" s="4">
        <f t="shared" si="8"/>
        <v>-107.17064418436163</v>
      </c>
      <c r="L77" s="4">
        <f t="shared" si="9"/>
        <v>-144.88527979353546</v>
      </c>
      <c r="M77" s="4">
        <f t="shared" si="10"/>
        <v>11485.546974891045</v>
      </c>
      <c r="N77" s="4">
        <f t="shared" si="11"/>
        <v>20991.744300851056</v>
      </c>
      <c r="O77" s="4"/>
      <c r="P77" s="4"/>
      <c r="Q77" s="4"/>
      <c r="R77" s="4"/>
      <c r="S77" s="4"/>
      <c r="T77" s="4"/>
      <c r="U77" s="4"/>
      <c r="V77" s="4"/>
      <c r="W77" s="5"/>
      <c r="AB77" s="25"/>
      <c r="AC77" s="25"/>
    </row>
    <row r="78" spans="1:29">
      <c r="A78" s="3">
        <v>15</v>
      </c>
      <c r="B78" s="30">
        <v>186</v>
      </c>
      <c r="C78" s="30">
        <v>100</v>
      </c>
      <c r="D78" s="4">
        <f>IF(B78,B78-$C$4," ")</f>
        <v>-84</v>
      </c>
      <c r="E78" s="4">
        <f>IF(B78,INT(D78)," ")</f>
        <v>-84</v>
      </c>
      <c r="F78" s="4">
        <f>IF(B78,((D78-E78)/60*100)," ")</f>
        <v>0</v>
      </c>
      <c r="G78" s="4">
        <f>IF(B78,C78*COS(PI()/180*(E78+F78))," ")</f>
        <v>10.452846326765346</v>
      </c>
      <c r="H78" s="4">
        <f>IF(B78,(C78*SIN(PI()/180*(E78+F78)))," ")</f>
        <v>-99.452189536827333</v>
      </c>
      <c r="I78" s="4"/>
      <c r="J78" s="4"/>
      <c r="K78" s="4">
        <f t="shared" si="8"/>
        <v>-105.68991734880419</v>
      </c>
      <c r="L78" s="4">
        <f t="shared" si="9"/>
        <v>-118.65731548006116</v>
      </c>
      <c r="M78" s="4">
        <f t="shared" si="10"/>
        <v>11170.358629197061</v>
      </c>
      <c r="N78" s="4">
        <f t="shared" si="11"/>
        <v>14079.558516934761</v>
      </c>
      <c r="O78" s="4"/>
      <c r="P78" s="4"/>
      <c r="Q78" s="4"/>
      <c r="R78" s="4"/>
      <c r="S78" s="4"/>
      <c r="T78" s="4"/>
      <c r="U78" s="4"/>
      <c r="V78" s="4"/>
      <c r="W78" s="5"/>
      <c r="AB78" s="25"/>
      <c r="AC78" s="25"/>
    </row>
    <row r="79" spans="1:29">
      <c r="A79" s="3">
        <v>16</v>
      </c>
      <c r="B79" s="30">
        <v>205.4</v>
      </c>
      <c r="C79" s="30">
        <v>106</v>
      </c>
      <c r="D79" s="4">
        <f>IF(B79,B79-$C$4," ")</f>
        <v>-64.599999999999994</v>
      </c>
      <c r="E79" s="4">
        <f>IF(B79,INT(D79)," ")</f>
        <v>-65</v>
      </c>
      <c r="F79" s="4">
        <f>IF(B79,((D79-E79)/60*100)," ")</f>
        <v>0.66666666666667618</v>
      </c>
      <c r="G79" s="4">
        <f>IF(B79,C79*COS(PI()/180*(E79+F79))," ")</f>
        <v>45.91228730189809</v>
      </c>
      <c r="H79" s="4">
        <f>IF(B79,(C79*SIN(PI()/180*(E79+F79)))," ")</f>
        <v>-95.54089111321899</v>
      </c>
      <c r="I79" s="4"/>
      <c r="J79" s="4"/>
      <c r="K79" s="4">
        <f t="shared" si="8"/>
        <v>-70.230476373671451</v>
      </c>
      <c r="L79" s="4">
        <f t="shared" si="9"/>
        <v>-114.74601705645281</v>
      </c>
      <c r="M79" s="4">
        <f t="shared" si="10"/>
        <v>4932.3198116728236</v>
      </c>
      <c r="N79" s="4">
        <f t="shared" si="11"/>
        <v>13166.648430319759</v>
      </c>
      <c r="O79" s="4"/>
      <c r="P79" s="4"/>
      <c r="Q79" s="4"/>
      <c r="R79" s="4"/>
      <c r="S79" s="4"/>
      <c r="T79" s="4"/>
      <c r="U79" s="4"/>
      <c r="V79" s="4"/>
      <c r="W79" s="5"/>
    </row>
    <row r="80" spans="1:29">
      <c r="A80" s="3">
        <v>17</v>
      </c>
      <c r="B80" s="25"/>
      <c r="C80" s="25"/>
      <c r="D80" s="4" t="str">
        <f>IF(B80,B80-$C$4," ")</f>
        <v xml:space="preserve"> </v>
      </c>
      <c r="E80" s="4" t="str">
        <f>IF(B80,INT(D80)," ")</f>
        <v xml:space="preserve"> </v>
      </c>
      <c r="F80" s="4" t="str">
        <f>IF(B80,((D80-E80)/60*100)," ")</f>
        <v xml:space="preserve"> </v>
      </c>
      <c r="G80" s="4" t="str">
        <f>IF(B80,C80*COS(PI()/180*(E80+F80))," ")</f>
        <v xml:space="preserve"> </v>
      </c>
      <c r="H80" s="4" t="str">
        <f>IF(B80,(C80*SIN(PI()/180*(E80+F80)))," ")</f>
        <v xml:space="preserve"> </v>
      </c>
      <c r="I80" s="4"/>
      <c r="J80" s="4"/>
      <c r="K80" s="4" t="str">
        <f t="shared" si="8"/>
        <v xml:space="preserve"> </v>
      </c>
      <c r="L80" s="4" t="str">
        <f t="shared" si="9"/>
        <v xml:space="preserve"> </v>
      </c>
      <c r="M80" s="4" t="str">
        <f t="shared" si="10"/>
        <v xml:space="preserve"> </v>
      </c>
      <c r="N80" s="4" t="str">
        <f t="shared" si="11"/>
        <v xml:space="preserve"> </v>
      </c>
      <c r="O80" s="4"/>
      <c r="P80" s="4"/>
      <c r="Q80" s="4"/>
      <c r="R80" s="4"/>
      <c r="S80" s="4"/>
      <c r="T80" s="4"/>
      <c r="U80" s="4"/>
      <c r="V80" s="4"/>
      <c r="W80" s="5"/>
    </row>
    <row r="81" spans="1:23">
      <c r="A81" s="3">
        <v>18</v>
      </c>
      <c r="B81" s="25"/>
      <c r="C81" s="25"/>
      <c r="D81" s="4" t="str">
        <f>IF(B81,B81-$C$4," ")</f>
        <v xml:space="preserve"> </v>
      </c>
      <c r="E81" s="4" t="str">
        <f>IF(B81,INT(D81)," ")</f>
        <v xml:space="preserve"> </v>
      </c>
      <c r="F81" s="4" t="str">
        <f>IF(B81,((D81-E81)/60*100)," ")</f>
        <v xml:space="preserve"> </v>
      </c>
      <c r="G81" s="4" t="str">
        <f>IF(B81,C81*COS(PI()/180*(E81+F81))," ")</f>
        <v xml:space="preserve"> </v>
      </c>
      <c r="H81" s="4" t="str">
        <f>IF(B81,(C81*SIN(PI()/180*(E81+F81)))," ")</f>
        <v xml:space="preserve"> </v>
      </c>
      <c r="I81" s="4"/>
      <c r="J81" s="4"/>
      <c r="K81" s="4" t="str">
        <f t="shared" si="8"/>
        <v xml:space="preserve"> </v>
      </c>
      <c r="L81" s="4" t="str">
        <f t="shared" si="9"/>
        <v xml:space="preserve"> </v>
      </c>
      <c r="M81" s="4" t="str">
        <f t="shared" si="10"/>
        <v xml:space="preserve"> </v>
      </c>
      <c r="N81" s="4" t="str">
        <f t="shared" si="11"/>
        <v xml:space="preserve"> </v>
      </c>
      <c r="O81" s="4"/>
      <c r="P81" s="4"/>
      <c r="Q81" s="4"/>
      <c r="R81" s="4"/>
      <c r="S81" s="4"/>
      <c r="T81" s="4"/>
      <c r="U81" s="4"/>
      <c r="V81" s="4"/>
      <c r="W81" s="5"/>
    </row>
    <row r="82" spans="1:23">
      <c r="A82" s="3">
        <v>19</v>
      </c>
      <c r="B82" s="25"/>
      <c r="C82" s="25"/>
      <c r="D82" s="4" t="str">
        <f>IF(B82,B82-$C$4," ")</f>
        <v xml:space="preserve"> </v>
      </c>
      <c r="E82" s="4" t="str">
        <f>IF(B82,INT(D82)," ")</f>
        <v xml:space="preserve"> </v>
      </c>
      <c r="F82" s="4" t="str">
        <f>IF(B82,((D82-E82)/60*100)," ")</f>
        <v xml:space="preserve"> </v>
      </c>
      <c r="G82" s="4" t="str">
        <f>IF(B82,C82*COS(PI()/180*(E82+F82))," ")</f>
        <v xml:space="preserve"> </v>
      </c>
      <c r="H82" s="4" t="str">
        <f>IF(B82,(C82*SIN(PI()/180*(E82+F82)))," ")</f>
        <v xml:space="preserve"> </v>
      </c>
      <c r="I82" s="4"/>
      <c r="J82" s="4"/>
      <c r="K82" s="4" t="str">
        <f t="shared" si="8"/>
        <v xml:space="preserve"> </v>
      </c>
      <c r="L82" s="4" t="str">
        <f t="shared" si="9"/>
        <v xml:space="preserve"> </v>
      </c>
      <c r="M82" s="4" t="str">
        <f t="shared" si="10"/>
        <v xml:space="preserve"> </v>
      </c>
      <c r="N82" s="4" t="str">
        <f t="shared" si="11"/>
        <v xml:space="preserve"> </v>
      </c>
      <c r="O82" s="4"/>
      <c r="P82" s="4"/>
      <c r="Q82" s="4"/>
      <c r="R82" s="4"/>
      <c r="S82" s="4"/>
      <c r="T82" s="4"/>
      <c r="U82" s="4"/>
      <c r="V82" s="4"/>
      <c r="W82" s="5"/>
    </row>
    <row r="83" spans="1:23">
      <c r="A83" s="3">
        <v>20</v>
      </c>
      <c r="B83" s="25"/>
      <c r="C83" s="25"/>
      <c r="D83" s="4" t="str">
        <f>IF(B83,B83-$C$4," ")</f>
        <v xml:space="preserve"> </v>
      </c>
      <c r="E83" s="4" t="str">
        <f>IF(B83,INT(D83)," ")</f>
        <v xml:space="preserve"> </v>
      </c>
      <c r="F83" s="4" t="str">
        <f>IF(B83,((D83-E83)/60*100)," ")</f>
        <v xml:space="preserve"> </v>
      </c>
      <c r="G83" s="4" t="str">
        <f>IF(B83,C83*COS(PI()/180*(E83+F83))," ")</f>
        <v xml:space="preserve"> </v>
      </c>
      <c r="H83" s="4" t="str">
        <f>IF(B83,(C83*SIN(PI()/180*(E83+F83)))," ")</f>
        <v xml:space="preserve"> </v>
      </c>
      <c r="I83" s="4"/>
      <c r="J83" s="4"/>
      <c r="K83" s="4" t="str">
        <f t="shared" si="8"/>
        <v xml:space="preserve"> </v>
      </c>
      <c r="L83" s="4" t="str">
        <f t="shared" si="9"/>
        <v xml:space="preserve"> </v>
      </c>
      <c r="M83" s="4" t="str">
        <f t="shared" si="10"/>
        <v xml:space="preserve"> </v>
      </c>
      <c r="N83" s="4" t="str">
        <f t="shared" si="11"/>
        <v xml:space="preserve"> </v>
      </c>
      <c r="O83" s="4"/>
      <c r="P83" s="4"/>
      <c r="Q83" s="4"/>
      <c r="R83" s="4"/>
      <c r="S83" s="4"/>
      <c r="T83" s="4"/>
      <c r="U83" s="4"/>
      <c r="V83" s="4"/>
      <c r="W83" s="5"/>
    </row>
    <row r="84" spans="1:23">
      <c r="A84" s="3">
        <v>21</v>
      </c>
      <c r="B84" s="25"/>
      <c r="C84" s="25"/>
      <c r="D84" s="4" t="str">
        <f>IF(B84,B84-$C$4," ")</f>
        <v xml:space="preserve"> </v>
      </c>
      <c r="E84" s="4" t="str">
        <f>IF(B84,INT(D84)," ")</f>
        <v xml:space="preserve"> </v>
      </c>
      <c r="F84" s="4" t="str">
        <f>IF(B84,((D84-E84)/60*100)," ")</f>
        <v xml:space="preserve"> </v>
      </c>
      <c r="G84" s="4" t="str">
        <f>IF(B84,C84*COS(PI()/180*(E84+F84))," ")</f>
        <v xml:space="preserve"> </v>
      </c>
      <c r="H84" s="4" t="str">
        <f>IF(B84,(C84*SIN(PI()/180*(E84+F84)))," ")</f>
        <v xml:space="preserve"> </v>
      </c>
      <c r="I84" s="4"/>
      <c r="J84" s="4"/>
      <c r="K84" s="4" t="str">
        <f t="shared" si="8"/>
        <v xml:space="preserve"> </v>
      </c>
      <c r="L84" s="4" t="str">
        <f t="shared" si="9"/>
        <v xml:space="preserve"> </v>
      </c>
      <c r="M84" s="4" t="str">
        <f t="shared" si="10"/>
        <v xml:space="preserve"> </v>
      </c>
      <c r="N84" s="4" t="str">
        <f t="shared" si="11"/>
        <v xml:space="preserve"> </v>
      </c>
      <c r="O84" s="4"/>
      <c r="P84" s="4"/>
      <c r="Q84" s="4"/>
      <c r="R84" s="4"/>
      <c r="S84" s="4"/>
      <c r="T84" s="4"/>
      <c r="U84" s="4"/>
      <c r="V84" s="4"/>
      <c r="W84" s="5"/>
    </row>
    <row r="85" spans="1:23" ht="15.75" thickBot="1">
      <c r="A85" s="3">
        <v>22</v>
      </c>
      <c r="B85" s="26"/>
      <c r="C85" s="25"/>
      <c r="D85" s="4" t="str">
        <f>IF(B85,B85-$C$4," ")</f>
        <v xml:space="preserve"> </v>
      </c>
      <c r="E85" s="4" t="str">
        <f>IF(B85,INT(D85)," ")</f>
        <v xml:space="preserve"> </v>
      </c>
      <c r="F85" s="4" t="str">
        <f>IF(B85,((D85-E85)/60*100)," ")</f>
        <v xml:space="preserve"> </v>
      </c>
      <c r="G85" s="4" t="str">
        <f>IF(B85,C85*COS(PI()/180*(E85+F85))," ")</f>
        <v xml:space="preserve"> </v>
      </c>
      <c r="H85" s="4" t="str">
        <f>IF(B85,(C85*SIN(PI()/180*(E85+F85)))," ")</f>
        <v xml:space="preserve"> </v>
      </c>
      <c r="I85" s="4"/>
      <c r="J85" s="4"/>
      <c r="K85" s="4" t="str">
        <f t="shared" si="8"/>
        <v xml:space="preserve"> </v>
      </c>
      <c r="L85" s="4" t="str">
        <f t="shared" si="9"/>
        <v xml:space="preserve"> </v>
      </c>
      <c r="M85" s="4" t="str">
        <f t="shared" si="10"/>
        <v xml:space="preserve"> </v>
      </c>
      <c r="N85" s="4" t="str">
        <f t="shared" si="11"/>
        <v xml:space="preserve"> </v>
      </c>
      <c r="O85" s="4"/>
      <c r="P85" s="4"/>
      <c r="Q85" s="4"/>
      <c r="R85" s="4"/>
      <c r="S85" s="4"/>
      <c r="T85" s="4"/>
      <c r="U85" s="4"/>
      <c r="V85" s="4"/>
      <c r="W85" s="5"/>
    </row>
    <row r="86" spans="1:23">
      <c r="A86" s="3">
        <v>23</v>
      </c>
      <c r="B86" s="25"/>
      <c r="C86" s="25"/>
      <c r="D86" s="4" t="str">
        <f>IF(B86,B86-$C$4," ")</f>
        <v xml:space="preserve"> </v>
      </c>
      <c r="E86" s="4" t="str">
        <f>IF(B86,INT(D86)," ")</f>
        <v xml:space="preserve"> </v>
      </c>
      <c r="F86" s="4" t="str">
        <f>IF(B86,((D86-E86)/60*100)," ")</f>
        <v xml:space="preserve"> </v>
      </c>
      <c r="G86" s="4" t="str">
        <f>IF(B86,C86*COS(PI()/180*(E86+F86))," ")</f>
        <v xml:space="preserve"> </v>
      </c>
      <c r="H86" s="4" t="str">
        <f>IF(B86,(C86*SIN(PI()/180*(E86+F86)))," ")</f>
        <v xml:space="preserve"> </v>
      </c>
      <c r="I86" s="4"/>
      <c r="J86" s="4"/>
      <c r="K86" s="4" t="str">
        <f t="shared" si="8"/>
        <v xml:space="preserve"> </v>
      </c>
      <c r="L86" s="4" t="str">
        <f t="shared" si="9"/>
        <v xml:space="preserve"> </v>
      </c>
      <c r="M86" s="4" t="str">
        <f t="shared" si="10"/>
        <v xml:space="preserve"> </v>
      </c>
      <c r="N86" s="4" t="str">
        <f t="shared" si="11"/>
        <v xml:space="preserve"> </v>
      </c>
      <c r="O86" s="4"/>
      <c r="P86" s="4"/>
      <c r="Q86" s="4"/>
      <c r="R86" s="4"/>
      <c r="S86" s="4"/>
      <c r="T86" s="4"/>
      <c r="U86" s="4"/>
      <c r="V86" s="4"/>
      <c r="W86" s="5"/>
    </row>
    <row r="87" spans="1:23" ht="15.75" thickBot="1">
      <c r="A87" s="6">
        <v>24</v>
      </c>
      <c r="B87" s="26"/>
      <c r="C87" s="26"/>
      <c r="D87" s="7" t="str">
        <f>IF(B87,B87-$C$4," ")</f>
        <v xml:space="preserve"> </v>
      </c>
      <c r="E87" s="7" t="str">
        <f>IF(B87,INT(D87)," ")</f>
        <v xml:space="preserve"> </v>
      </c>
      <c r="F87" s="7" t="str">
        <f>IF(B87,((D87-E87)/60*100)," ")</f>
        <v xml:space="preserve"> </v>
      </c>
      <c r="G87" s="7" t="str">
        <f>IF(B87,C87*COS(PI()/180*(E87+F87))," ")</f>
        <v xml:space="preserve"> </v>
      </c>
      <c r="H87" s="7" t="str">
        <f>IF(B87,(C87*SIN(PI()/180*(E87+F87)))," ")</f>
        <v xml:space="preserve"> </v>
      </c>
      <c r="I87" s="7"/>
      <c r="J87" s="7"/>
      <c r="K87" s="7" t="str">
        <f t="shared" si="8"/>
        <v xml:space="preserve"> </v>
      </c>
      <c r="L87" s="7" t="str">
        <f t="shared" si="9"/>
        <v xml:space="preserve"> </v>
      </c>
      <c r="M87" s="7" t="str">
        <f t="shared" si="10"/>
        <v xml:space="preserve"> </v>
      </c>
      <c r="N87" s="7" t="str">
        <f t="shared" si="11"/>
        <v xml:space="preserve"> </v>
      </c>
      <c r="O87" s="7"/>
      <c r="P87" s="7"/>
      <c r="Q87" s="7"/>
      <c r="R87" s="7"/>
      <c r="S87" s="7"/>
      <c r="T87" s="7"/>
      <c r="U87" s="7"/>
      <c r="V87" s="7"/>
      <c r="W87" s="8"/>
    </row>
    <row r="88" spans="1:23" ht="19.5" thickBot="1">
      <c r="A88" s="115" t="s">
        <v>80</v>
      </c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3" ht="30">
      <c r="A89" s="1" t="s">
        <v>2</v>
      </c>
      <c r="B89" s="23" t="s">
        <v>0</v>
      </c>
      <c r="C89" s="23" t="s">
        <v>1</v>
      </c>
      <c r="D89" s="11" t="s">
        <v>51</v>
      </c>
      <c r="E89" s="2" t="s">
        <v>4</v>
      </c>
      <c r="F89" s="11" t="s">
        <v>5</v>
      </c>
      <c r="G89" s="2" t="s">
        <v>3</v>
      </c>
      <c r="H89" s="2" t="s">
        <v>21</v>
      </c>
      <c r="I89" s="2" t="s">
        <v>6</v>
      </c>
      <c r="J89" s="2" t="s">
        <v>7</v>
      </c>
      <c r="K89" s="2" t="s">
        <v>8</v>
      </c>
      <c r="L89" s="2" t="s">
        <v>9</v>
      </c>
      <c r="M89" s="2" t="s">
        <v>10</v>
      </c>
      <c r="N89" s="2" t="s">
        <v>11</v>
      </c>
      <c r="O89" s="2" t="s">
        <v>12</v>
      </c>
      <c r="P89" s="2" t="s">
        <v>13</v>
      </c>
      <c r="Q89" s="2" t="s">
        <v>14</v>
      </c>
      <c r="R89" s="2" t="s">
        <v>15</v>
      </c>
      <c r="S89" s="2" t="s">
        <v>16</v>
      </c>
      <c r="T89" s="12" t="s">
        <v>17</v>
      </c>
      <c r="U89" s="12" t="s">
        <v>18</v>
      </c>
      <c r="V89" s="13" t="s">
        <v>19</v>
      </c>
      <c r="W89" s="9" t="s">
        <v>22</v>
      </c>
    </row>
    <row r="90" spans="1:23">
      <c r="A90" s="3">
        <v>1</v>
      </c>
      <c r="B90" s="25">
        <v>215.15</v>
      </c>
      <c r="C90" s="25">
        <v>124</v>
      </c>
      <c r="D90" s="4">
        <f>IF(B90,B90-$C$4," ")</f>
        <v>-54.849999999999994</v>
      </c>
      <c r="E90" s="4">
        <f>IF(B90,INT(D90)," ")</f>
        <v>-55</v>
      </c>
      <c r="F90" s="4">
        <f>IF(B90,((D90-E90)/60*100)," ")</f>
        <v>0.25000000000000944</v>
      </c>
      <c r="G90" s="4">
        <f>IF(B90,C90*COS(PI()/180*(E90+F90))," ")</f>
        <v>71.566003564616977</v>
      </c>
      <c r="H90" s="4">
        <f>IF(B90,(C90*SIN(PI()/180*(E90+F90)))," ")</f>
        <v>-101.26355284004818</v>
      </c>
      <c r="I90" s="4">
        <f>SUM(G90:G111)/G6</f>
        <v>112.25361040870294</v>
      </c>
      <c r="J90" s="4">
        <f>SUM(H90:H111)/G6</f>
        <v>-82.332109947211379</v>
      </c>
      <c r="K90" s="4">
        <f t="shared" ref="K90:K113" si="12">IF(B90,SUM(G90,-$I$12)," ")</f>
        <v>-44.576760110952563</v>
      </c>
      <c r="L90" s="4">
        <f t="shared" ref="L90:L113" si="13">IF(B90,SUM(H90,-$J$12)," ")</f>
        <v>-120.468678783282</v>
      </c>
      <c r="M90" s="4">
        <f t="shared" ref="M90:M113" si="14">IF(B90,POWER(K90,2)," ")</f>
        <v>1987.0875419894116</v>
      </c>
      <c r="N90" s="4">
        <f t="shared" ref="N90:N113" si="15">IF(B90,POWER(L90,2)," ")</f>
        <v>14512.70256778958</v>
      </c>
      <c r="O90" s="4">
        <f>G6-1</f>
        <v>21</v>
      </c>
      <c r="P90" s="4">
        <f>SUM(M90:M113)</f>
        <v>8215.781562409371</v>
      </c>
      <c r="Q90" s="4">
        <f>SUM(N90:N113)</f>
        <v>228604.91939723425</v>
      </c>
      <c r="R90" s="4">
        <f>PRODUCT(P90,1/$O$38)</f>
        <v>547.71877082729134</v>
      </c>
      <c r="S90" s="4">
        <f>PRODUCT(Q90,1/$O$38)</f>
        <v>15240.327959815617</v>
      </c>
      <c r="T90" s="4">
        <f>SQRT(R90)</f>
        <v>23.403392293154667</v>
      </c>
      <c r="U90" s="4">
        <f>SQRT(S90)</f>
        <v>123.4517231950029</v>
      </c>
      <c r="V90" s="4">
        <f>PRODUCT(T90:U90)</f>
        <v>2889.1891071985942</v>
      </c>
      <c r="W90" s="10">
        <f>SQRT(V90)</f>
        <v>53.751177728479533</v>
      </c>
    </row>
    <row r="91" spans="1:23">
      <c r="A91" s="3">
        <v>2</v>
      </c>
      <c r="B91" s="25">
        <v>220.2</v>
      </c>
      <c r="C91" s="25">
        <v>122</v>
      </c>
      <c r="D91" s="4">
        <f>IF(B91,B91-$C$4," ")</f>
        <v>-49.800000000000011</v>
      </c>
      <c r="E91" s="4">
        <f>IF(B91,INT(D91)," ")</f>
        <v>-50</v>
      </c>
      <c r="F91" s="4">
        <f>IF(B91,((D91-E91)/60*100)," ")</f>
        <v>0.33333333333331439</v>
      </c>
      <c r="G91" s="4">
        <f>IF(B91,C91*COS(PI()/180*(E91+F91))," ")</f>
        <v>78.962471442124723</v>
      </c>
      <c r="H91" s="4">
        <f>IF(B91,(C91*SIN(PI()/180*(E91+F91)))," ")</f>
        <v>-92.99961346022701</v>
      </c>
      <c r="I91" s="4"/>
      <c r="J91" s="4"/>
      <c r="K91" s="4">
        <f t="shared" si="12"/>
        <v>-37.180292233444817</v>
      </c>
      <c r="L91" s="4">
        <f t="shared" si="13"/>
        <v>-112.20473940346083</v>
      </c>
      <c r="M91" s="4">
        <f t="shared" si="14"/>
        <v>1382.3741305643571</v>
      </c>
      <c r="N91" s="4">
        <f t="shared" si="15"/>
        <v>12589.903544598556</v>
      </c>
      <c r="O91" s="4"/>
      <c r="P91" s="4"/>
      <c r="Q91" s="4"/>
      <c r="R91" s="4"/>
      <c r="S91" s="4"/>
      <c r="T91" s="4"/>
      <c r="U91" s="4"/>
      <c r="V91" s="4"/>
      <c r="W91" s="5"/>
    </row>
    <row r="92" spans="1:23">
      <c r="A92" s="3">
        <v>3</v>
      </c>
      <c r="B92" s="25">
        <v>224.25</v>
      </c>
      <c r="C92" s="25">
        <v>122</v>
      </c>
      <c r="D92" s="4">
        <f>IF(B92,B92-$C$4," ")</f>
        <v>-45.75</v>
      </c>
      <c r="E92" s="4">
        <f>IF(B92,INT(D92)," ")</f>
        <v>-46</v>
      </c>
      <c r="F92" s="4">
        <f>IF(B92,((D92-E92)/60*100)," ")</f>
        <v>0.41666666666666669</v>
      </c>
      <c r="G92" s="4">
        <f>IF(B92,C92*COS(PI()/180*(E92+F92))," ")</f>
        <v>85.384279395615764</v>
      </c>
      <c r="H92" s="4">
        <f>IF(B92,(C92*SIN(PI()/180*(E92+F92)))," ")</f>
        <v>-87.140833322222861</v>
      </c>
      <c r="I92" s="4"/>
      <c r="J92" s="4"/>
      <c r="K92" s="4">
        <f t="shared" si="12"/>
        <v>-30.758484279953777</v>
      </c>
      <c r="L92" s="4">
        <f t="shared" si="13"/>
        <v>-106.34595926545668</v>
      </c>
      <c r="M92" s="4">
        <f t="shared" si="14"/>
        <v>946.0843552001636</v>
      </c>
      <c r="N92" s="4">
        <f t="shared" si="15"/>
        <v>11309.463052090172</v>
      </c>
      <c r="O92" s="4"/>
      <c r="P92" s="4"/>
      <c r="Q92" s="4"/>
      <c r="R92" s="4"/>
      <c r="S92" s="4"/>
      <c r="T92" s="4"/>
      <c r="U92" s="4"/>
      <c r="V92" s="4"/>
      <c r="W92" s="5"/>
    </row>
    <row r="93" spans="1:23">
      <c r="A93" s="3">
        <v>4</v>
      </c>
      <c r="B93" s="25">
        <v>229.1</v>
      </c>
      <c r="C93" s="25">
        <v>126</v>
      </c>
      <c r="D93" s="4">
        <f>IF(B93,B93-$C$4," ")</f>
        <v>-40.900000000000006</v>
      </c>
      <c r="E93" s="4">
        <f>IF(B93,INT(D93)," ")</f>
        <v>-41</v>
      </c>
      <c r="F93" s="4">
        <f>IF(B93,((D93-E93)/60*100)," ")</f>
        <v>0.16666666666665719</v>
      </c>
      <c r="G93" s="4">
        <f>IF(B93,C93*COS(PI()/180*(E93+F93))," ")</f>
        <v>95.333462641304081</v>
      </c>
      <c r="H93" s="4">
        <f>IF(B93,(C93*SIN(PI()/180*(E93+F93)))," ")</f>
        <v>-82.386472802390799</v>
      </c>
      <c r="I93" s="4"/>
      <c r="J93" s="4"/>
      <c r="K93" s="4">
        <f t="shared" si="12"/>
        <v>-20.809301034265459</v>
      </c>
      <c r="L93" s="4">
        <f t="shared" si="13"/>
        <v>-101.59159874562462</v>
      </c>
      <c r="M93" s="4">
        <f t="shared" si="14"/>
        <v>433.0270095346815</v>
      </c>
      <c r="N93" s="4">
        <f t="shared" si="15"/>
        <v>10320.852935691999</v>
      </c>
      <c r="O93" s="4"/>
      <c r="P93" s="4"/>
      <c r="Q93" s="4"/>
      <c r="R93" s="4"/>
      <c r="S93" s="4"/>
      <c r="T93" s="4"/>
      <c r="U93" s="4"/>
      <c r="V93" s="4"/>
      <c r="W93" s="5"/>
    </row>
    <row r="94" spans="1:23">
      <c r="A94" s="3">
        <v>5</v>
      </c>
      <c r="B94" s="25">
        <v>235.15</v>
      </c>
      <c r="C94" s="25">
        <v>120</v>
      </c>
      <c r="D94" s="4">
        <f>IF(B94,B94-$C$4," ")</f>
        <v>-34.849999999999994</v>
      </c>
      <c r="E94" s="4">
        <f>IF(B94,INT(D94)," ")</f>
        <v>-35</v>
      </c>
      <c r="F94" s="4">
        <f>IF(B94,((D94-E94)/60*100)," ")</f>
        <v>0.25000000000000944</v>
      </c>
      <c r="G94" s="4">
        <f>IF(B94,C94*COS(PI()/180*(E94+F94))," ")</f>
        <v>98.59763255305964</v>
      </c>
      <c r="H94" s="4">
        <f>IF(B94,(C94*SIN(PI()/180*(E94+F94)))," ")</f>
        <v>-68.399611511556358</v>
      </c>
      <c r="I94" s="4"/>
      <c r="J94" s="4"/>
      <c r="K94" s="4">
        <f t="shared" si="12"/>
        <v>-17.5451311225099</v>
      </c>
      <c r="L94" s="4">
        <f t="shared" si="13"/>
        <v>-87.604737454790182</v>
      </c>
      <c r="M94" s="4">
        <f t="shared" si="14"/>
        <v>307.83162610606553</v>
      </c>
      <c r="N94" s="4">
        <f t="shared" si="15"/>
        <v>7674.5900245227176</v>
      </c>
      <c r="O94" s="4"/>
      <c r="P94" s="4"/>
      <c r="Q94" s="4"/>
      <c r="R94" s="4"/>
      <c r="S94" s="4"/>
      <c r="T94" s="4"/>
      <c r="U94" s="4"/>
      <c r="V94" s="4"/>
      <c r="W94" s="5"/>
    </row>
    <row r="95" spans="1:23">
      <c r="A95" s="3">
        <v>6</v>
      </c>
      <c r="B95" s="25">
        <v>234</v>
      </c>
      <c r="C95" s="25">
        <v>126</v>
      </c>
      <c r="D95" s="4">
        <f>IF(B95,B95-$C$4," ")</f>
        <v>-36</v>
      </c>
      <c r="E95" s="4">
        <f>IF(B95,INT(D95)," ")</f>
        <v>-36</v>
      </c>
      <c r="F95" s="4">
        <f>IF(B95,((D95-E95)/60*100)," ")</f>
        <v>0</v>
      </c>
      <c r="G95" s="4">
        <f>IF(B95,C95*COS(PI()/180*(E95+F95))," ")</f>
        <v>101.93614129124337</v>
      </c>
      <c r="H95" s="4">
        <f>IF(B95,(C95*SIN(PI()/180*(E95+F95)))," ")</f>
        <v>-74.060941788851622</v>
      </c>
      <c r="I95" s="4"/>
      <c r="J95" s="4"/>
      <c r="K95" s="4">
        <f t="shared" si="12"/>
        <v>-14.206622384326167</v>
      </c>
      <c r="L95" s="4">
        <f t="shared" si="13"/>
        <v>-93.266067732085446</v>
      </c>
      <c r="M95" s="4">
        <f t="shared" si="14"/>
        <v>201.82811957083729</v>
      </c>
      <c r="N95" s="4">
        <f t="shared" si="15"/>
        <v>8698.55939020595</v>
      </c>
      <c r="O95" s="4"/>
      <c r="P95" s="4"/>
      <c r="Q95" s="4"/>
      <c r="R95" s="4"/>
      <c r="S95" s="4"/>
      <c r="T95" s="4"/>
      <c r="U95" s="4"/>
      <c r="V95" s="4"/>
      <c r="W95" s="5"/>
    </row>
    <row r="96" spans="1:23">
      <c r="A96" s="3">
        <v>7</v>
      </c>
      <c r="B96" s="25">
        <v>229.35</v>
      </c>
      <c r="C96" s="25">
        <v>138</v>
      </c>
      <c r="D96" s="4">
        <f>IF(B96,B96-$C$4," ")</f>
        <v>-40.650000000000006</v>
      </c>
      <c r="E96" s="4">
        <f>IF(B96,INT(D96)," ")</f>
        <v>-41</v>
      </c>
      <c r="F96" s="4">
        <f>IF(B96,((D96-E96)/60*100)," ")</f>
        <v>0.58333333333332382</v>
      </c>
      <c r="G96" s="4">
        <f>IF(B96,C96*COS(PI()/180*(E96+F96))," ")</f>
        <v>105.06626479388589</v>
      </c>
      <c r="H96" s="4">
        <f>IF(B96,(C96*SIN(PI()/180*(E96+F96)))," ")</f>
        <v>-89.471112669179732</v>
      </c>
      <c r="I96" s="4"/>
      <c r="J96" s="4"/>
      <c r="K96" s="4">
        <f t="shared" si="12"/>
        <v>-11.076498881683648</v>
      </c>
      <c r="L96" s="4">
        <f t="shared" si="13"/>
        <v>-108.67623861241356</v>
      </c>
      <c r="M96" s="4">
        <f t="shared" si="14"/>
        <v>122.68882747593911</v>
      </c>
      <c r="N96" s="4">
        <f t="shared" si="15"/>
        <v>11810.524838942247</v>
      </c>
      <c r="O96" s="4"/>
      <c r="P96" s="4"/>
      <c r="Q96" s="4"/>
      <c r="R96" s="4"/>
      <c r="S96" s="4"/>
      <c r="T96" s="4"/>
      <c r="U96" s="4"/>
      <c r="V96" s="4"/>
      <c r="W96" s="5"/>
    </row>
    <row r="97" spans="1:23">
      <c r="A97" s="3">
        <v>8</v>
      </c>
      <c r="B97" s="25">
        <v>234.1</v>
      </c>
      <c r="C97" s="25">
        <v>130</v>
      </c>
      <c r="D97" s="4">
        <f>IF(B97,B97-$C$4," ")</f>
        <v>-35.900000000000006</v>
      </c>
      <c r="E97" s="4">
        <f>IF(B97,INT(D97)," ")</f>
        <v>-36</v>
      </c>
      <c r="F97" s="4">
        <f>IF(B97,((D97-E97)/60*100)," ")</f>
        <v>0.16666666666665719</v>
      </c>
      <c r="G97" s="4">
        <f>IF(B97,C97*COS(PI()/180*(E97+F97))," ")</f>
        <v>105.39403773212759</v>
      </c>
      <c r="H97" s="4">
        <f>IF(B97,(C97*SIN(PI()/180*(E97+F97)))," ")</f>
        <v>-76.105826390092275</v>
      </c>
      <c r="I97" s="4"/>
      <c r="J97" s="4"/>
      <c r="K97" s="4">
        <f t="shared" si="12"/>
        <v>-10.748725943441954</v>
      </c>
      <c r="L97" s="4">
        <f t="shared" si="13"/>
        <v>-95.3109523333261</v>
      </c>
      <c r="M97" s="4">
        <f t="shared" si="14"/>
        <v>115.53510940722212</v>
      </c>
      <c r="N97" s="4">
        <f t="shared" si="15"/>
        <v>9084.1776346855604</v>
      </c>
      <c r="O97" s="4"/>
      <c r="P97" s="4"/>
      <c r="Q97" s="4"/>
      <c r="R97" s="4"/>
      <c r="S97" s="4"/>
      <c r="T97" s="4"/>
      <c r="U97" s="4"/>
      <c r="V97" s="4"/>
      <c r="W97" s="5"/>
    </row>
    <row r="98" spans="1:23">
      <c r="A98" s="3">
        <v>9</v>
      </c>
      <c r="B98" s="25">
        <v>229.4</v>
      </c>
      <c r="C98" s="25">
        <v>142</v>
      </c>
      <c r="D98" s="4">
        <f>IF(B98,B98-$C$4," ")</f>
        <v>-40.599999999999994</v>
      </c>
      <c r="E98" s="4">
        <f>IF(B98,INT(D98)," ")</f>
        <v>-41</v>
      </c>
      <c r="F98" s="4">
        <f>IF(B98,((D98-E98)/60*100)," ")</f>
        <v>0.66666666666667618</v>
      </c>
      <c r="G98" s="4">
        <f>IF(B98,C98*COS(PI()/180*(E98+F98))," ")</f>
        <v>108.24545173239537</v>
      </c>
      <c r="H98" s="4">
        <f>IF(B98,(C98*SIN(PI()/180*(E98+F98)))," ")</f>
        <v>-91.907138891653375</v>
      </c>
      <c r="I98" s="4"/>
      <c r="J98" s="4"/>
      <c r="K98" s="4">
        <f t="shared" si="12"/>
        <v>-7.8973119431741736</v>
      </c>
      <c r="L98" s="4">
        <f t="shared" si="13"/>
        <v>-111.1122648348872</v>
      </c>
      <c r="M98" s="4">
        <f t="shared" si="14"/>
        <v>62.367535927801441</v>
      </c>
      <c r="N98" s="4">
        <f t="shared" si="15"/>
        <v>12345.93539673811</v>
      </c>
      <c r="O98" s="4"/>
      <c r="P98" s="4"/>
      <c r="Q98" s="4"/>
      <c r="R98" s="4"/>
      <c r="S98" s="4"/>
      <c r="T98" s="4"/>
      <c r="U98" s="4"/>
      <c r="V98" s="4"/>
      <c r="W98" s="5"/>
    </row>
    <row r="99" spans="1:23">
      <c r="A99" s="3">
        <v>10</v>
      </c>
      <c r="B99" s="25">
        <v>231.45</v>
      </c>
      <c r="C99" s="25">
        <v>138</v>
      </c>
      <c r="D99" s="4">
        <f>IF(B99,B99-$C$4," ")</f>
        <v>-38.550000000000011</v>
      </c>
      <c r="E99" s="4">
        <f>IF(B99,INT(D99)," ")</f>
        <v>-39</v>
      </c>
      <c r="F99" s="4">
        <f>IF(B99,((D99-E99)/60*100)," ")</f>
        <v>0.74999999999998102</v>
      </c>
      <c r="G99" s="4">
        <f>IF(B99,C99*COS(PI()/180*(E99+F99))," ")</f>
        <v>108.37373646154278</v>
      </c>
      <c r="H99" s="4">
        <f>IF(B99,(C99*SIN(PI()/180*(E99+F99)))," ")</f>
        <v>-85.434965004757117</v>
      </c>
      <c r="I99" s="4"/>
      <c r="J99" s="4"/>
      <c r="K99" s="4">
        <f t="shared" si="12"/>
        <v>-7.7690272140267638</v>
      </c>
      <c r="L99" s="4">
        <f t="shared" si="13"/>
        <v>-104.64009094799094</v>
      </c>
      <c r="M99" s="4">
        <f t="shared" si="14"/>
        <v>60.357783852288456</v>
      </c>
      <c r="N99" s="4">
        <f t="shared" si="15"/>
        <v>10949.548633603816</v>
      </c>
      <c r="O99" s="4"/>
      <c r="P99" s="4"/>
      <c r="Q99" s="4"/>
      <c r="R99" s="4"/>
      <c r="S99" s="4"/>
      <c r="T99" s="4"/>
      <c r="U99" s="4"/>
      <c r="V99" s="4"/>
      <c r="W99" s="5"/>
    </row>
    <row r="100" spans="1:23">
      <c r="A100" s="3">
        <v>11</v>
      </c>
      <c r="B100" s="25">
        <v>236.2</v>
      </c>
      <c r="C100" s="25">
        <v>136</v>
      </c>
      <c r="D100" s="4">
        <f>IF(B100,B100-$C$4," ")</f>
        <v>-33.800000000000011</v>
      </c>
      <c r="E100" s="4">
        <f>IF(B100,INT(D100)," ")</f>
        <v>-34</v>
      </c>
      <c r="F100" s="4">
        <f>IF(B100,((D100-E100)/60*100)," ")</f>
        <v>0.33333333333331439</v>
      </c>
      <c r="G100" s="4">
        <f>IF(B100,C100*COS(PI()/180*(E100+F100))," ")</f>
        <v>113.18964163422974</v>
      </c>
      <c r="H100" s="4">
        <f>IF(B100,(C100*SIN(PI()/180*(E100+F100)))," ")</f>
        <v>-75.393003831354562</v>
      </c>
      <c r="I100" s="4"/>
      <c r="J100" s="4"/>
      <c r="K100" s="4">
        <f t="shared" si="12"/>
        <v>-2.9531220413397961</v>
      </c>
      <c r="L100" s="4">
        <f t="shared" si="13"/>
        <v>-94.598129774588386</v>
      </c>
      <c r="M100" s="4">
        <f t="shared" si="14"/>
        <v>8.7209297910469239</v>
      </c>
      <c r="N100" s="4">
        <f t="shared" si="15"/>
        <v>8948.8061568498651</v>
      </c>
      <c r="O100" s="4"/>
      <c r="P100" s="4"/>
      <c r="Q100" s="4"/>
      <c r="R100" s="4"/>
      <c r="S100" s="4"/>
      <c r="T100" s="4"/>
      <c r="U100" s="4"/>
      <c r="V100" s="4"/>
      <c r="W100" s="5"/>
    </row>
    <row r="101" spans="1:23">
      <c r="A101" s="3">
        <v>12</v>
      </c>
      <c r="B101" s="25">
        <v>235</v>
      </c>
      <c r="C101" s="25">
        <v>140</v>
      </c>
      <c r="D101" s="4">
        <f>IF(B101,B101-$C$4," ")</f>
        <v>-35</v>
      </c>
      <c r="E101" s="4">
        <f>IF(B101,INT(D101)," ")</f>
        <v>-35</v>
      </c>
      <c r="F101" s="4">
        <f>IF(B101,((D101-E101)/60*100)," ")</f>
        <v>0</v>
      </c>
      <c r="G101" s="4">
        <f>IF(B101,C101*COS(PI()/180*(E101+F101))," ")</f>
        <v>114.68128620045886</v>
      </c>
      <c r="H101" s="4">
        <f>IF(B101,(C101*SIN(PI()/180*(E101+F101)))," ")</f>
        <v>-80.300701089146443</v>
      </c>
      <c r="I101" s="4"/>
      <c r="J101" s="4"/>
      <c r="K101" s="4">
        <f t="shared" si="12"/>
        <v>-1.4614774751106836</v>
      </c>
      <c r="L101" s="4">
        <f t="shared" si="13"/>
        <v>-99.505827032380267</v>
      </c>
      <c r="M101" s="4">
        <f t="shared" si="14"/>
        <v>2.135916410255899</v>
      </c>
      <c r="N101" s="4">
        <f t="shared" si="15"/>
        <v>9901.4096133979801</v>
      </c>
      <c r="O101" s="4"/>
      <c r="P101" s="4"/>
      <c r="Q101" s="4"/>
      <c r="R101" s="4"/>
      <c r="S101" s="4"/>
      <c r="T101" s="4"/>
      <c r="U101" s="4"/>
      <c r="V101" s="4"/>
      <c r="W101" s="5"/>
    </row>
    <row r="102" spans="1:23">
      <c r="A102" s="3">
        <v>13</v>
      </c>
      <c r="B102" s="25">
        <v>233.4</v>
      </c>
      <c r="C102" s="25">
        <v>144</v>
      </c>
      <c r="D102" s="4">
        <f>IF(B102,B102-$C$4," ")</f>
        <v>-36.599999999999994</v>
      </c>
      <c r="E102" s="4">
        <f>IF(B102,INT(D102)," ")</f>
        <v>-37</v>
      </c>
      <c r="F102" s="4">
        <f>IF(B102,((D102-E102)/60*100)," ")</f>
        <v>0.66666666666667618</v>
      </c>
      <c r="G102" s="4">
        <f>IF(B102,C102*COS(PI()/180*(E102+F102))," ")</f>
        <v>116.00405662651193</v>
      </c>
      <c r="H102" s="4">
        <f>IF(B102,(C102*SIN(PI()/180*(E102+F102)))," ")</f>
        <v>-85.317400606166004</v>
      </c>
      <c r="I102" s="4"/>
      <c r="J102" s="4"/>
      <c r="K102" s="4">
        <f t="shared" si="12"/>
        <v>-0.138707049057615</v>
      </c>
      <c r="L102" s="4">
        <f t="shared" si="13"/>
        <v>-104.52252654939983</v>
      </c>
      <c r="M102" s="4">
        <f t="shared" si="14"/>
        <v>1.9239645458271611E-2</v>
      </c>
      <c r="N102" s="4">
        <f t="shared" si="15"/>
        <v>10924.958556269992</v>
      </c>
      <c r="O102" s="4"/>
      <c r="P102" s="4"/>
      <c r="Q102" s="4"/>
      <c r="R102" s="4"/>
      <c r="S102" s="4"/>
      <c r="T102" s="4"/>
      <c r="U102" s="4"/>
      <c r="V102" s="4"/>
      <c r="W102" s="5"/>
    </row>
    <row r="103" spans="1:23">
      <c r="A103" s="3">
        <v>14</v>
      </c>
      <c r="B103" s="25">
        <v>232.15</v>
      </c>
      <c r="C103" s="25">
        <v>148</v>
      </c>
      <c r="D103" s="4">
        <f>IF(B103,B103-$C$4," ")</f>
        <v>-37.849999999999994</v>
      </c>
      <c r="E103" s="4">
        <f>IF(B103,INT(D103)," ")</f>
        <v>-38</v>
      </c>
      <c r="F103" s="4">
        <f>IF(B103,((D103-E103)/60*100)," ")</f>
        <v>0.25000000000000944</v>
      </c>
      <c r="G103" s="4">
        <f>IF(B103,C103*COS(PI()/180*(E103+F103))," ")</f>
        <v>117.02205691408882</v>
      </c>
      <c r="H103" s="4">
        <f>IF(B103,(C103*SIN(PI()/180*(E103+F103)))," ")</f>
        <v>-90.608157445098485</v>
      </c>
      <c r="I103" s="4"/>
      <c r="J103" s="4"/>
      <c r="K103" s="4">
        <f t="shared" si="12"/>
        <v>0.87929323851928132</v>
      </c>
      <c r="L103" s="4">
        <f t="shared" si="13"/>
        <v>-109.81328338833231</v>
      </c>
      <c r="M103" s="4">
        <f t="shared" si="14"/>
        <v>0.77315659930572578</v>
      </c>
      <c r="N103" s="4">
        <f t="shared" si="15"/>
        <v>12058.957208526181</v>
      </c>
      <c r="O103" s="4"/>
      <c r="P103" s="4"/>
      <c r="Q103" s="4"/>
      <c r="R103" s="4"/>
      <c r="S103" s="4"/>
      <c r="T103" s="4"/>
      <c r="U103" s="4"/>
      <c r="V103" s="4"/>
      <c r="W103" s="5"/>
    </row>
    <row r="104" spans="1:23">
      <c r="A104" s="3">
        <v>15</v>
      </c>
      <c r="B104" s="25">
        <v>238.1</v>
      </c>
      <c r="C104" s="25">
        <v>138</v>
      </c>
      <c r="D104" s="4">
        <f>IF(B104,B104-$C$4," ")</f>
        <v>-31.900000000000006</v>
      </c>
      <c r="E104" s="4">
        <f>IF(B104,INT(D104)," ")</f>
        <v>-32</v>
      </c>
      <c r="F104" s="4">
        <f>IF(B104,((D104-E104)/60*100)," ")</f>
        <v>0.16666666666665719</v>
      </c>
      <c r="G104" s="4">
        <f>IF(B104,C104*COS(PI()/180*(E104+F104))," ")</f>
        <v>117.24286506341666</v>
      </c>
      <c r="H104" s="4">
        <f>IF(B104,(C104*SIN(PI()/180*(E104+F104)))," ")</f>
        <v>-72.788121226759756</v>
      </c>
      <c r="I104" s="4"/>
      <c r="J104" s="4"/>
      <c r="K104" s="4">
        <f t="shared" si="12"/>
        <v>1.1001013878471184</v>
      </c>
      <c r="L104" s="4">
        <f t="shared" si="13"/>
        <v>-91.99324716999358</v>
      </c>
      <c r="M104" s="4">
        <f t="shared" si="14"/>
        <v>1.2102230635431561</v>
      </c>
      <c r="N104" s="4">
        <f t="shared" si="15"/>
        <v>8462.757524879531</v>
      </c>
      <c r="O104" s="4"/>
      <c r="P104" s="4"/>
      <c r="Q104" s="4"/>
      <c r="R104" s="4"/>
      <c r="S104" s="4"/>
      <c r="T104" s="4"/>
      <c r="U104" s="4"/>
      <c r="V104" s="4"/>
      <c r="W104" s="5"/>
    </row>
    <row r="105" spans="1:23">
      <c r="A105" s="3">
        <v>16</v>
      </c>
      <c r="B105" s="25">
        <v>236.4</v>
      </c>
      <c r="C105" s="25">
        <v>144</v>
      </c>
      <c r="D105" s="4">
        <f>IF(B105,B105-$C$4," ")</f>
        <v>-33.599999999999994</v>
      </c>
      <c r="E105" s="4">
        <f>IF(B105,INT(D105)," ")</f>
        <v>-34</v>
      </c>
      <c r="F105" s="4">
        <f>IF(B105,((D105-E105)/60*100)," ")</f>
        <v>0.66666666666667618</v>
      </c>
      <c r="G105" s="4">
        <f>IF(B105,C105*COS(PI()/180*(E105+F105))," ")</f>
        <v>120.31024484346285</v>
      </c>
      <c r="H105" s="4">
        <f>IF(B105,(C105*SIN(PI()/180*(E105+F105)))," ")</f>
        <v>-79.129292842196051</v>
      </c>
      <c r="I105" s="4"/>
      <c r="J105" s="4"/>
      <c r="K105" s="4">
        <f t="shared" si="12"/>
        <v>4.1674811678933139</v>
      </c>
      <c r="L105" s="4">
        <f t="shared" si="13"/>
        <v>-98.334418785429875</v>
      </c>
      <c r="M105" s="4">
        <f t="shared" si="14"/>
        <v>17.36789928474542</v>
      </c>
      <c r="N105" s="4">
        <f t="shared" si="15"/>
        <v>9669.6579178683041</v>
      </c>
      <c r="O105" s="4"/>
      <c r="P105" s="4"/>
      <c r="Q105" s="4"/>
      <c r="R105" s="4"/>
      <c r="S105" s="4"/>
      <c r="T105" s="4"/>
      <c r="U105" s="4"/>
      <c r="V105" s="4"/>
      <c r="W105" s="5"/>
    </row>
    <row r="106" spans="1:23">
      <c r="A106" s="3">
        <v>17</v>
      </c>
      <c r="B106" s="25">
        <v>236.2</v>
      </c>
      <c r="C106" s="25">
        <v>150</v>
      </c>
      <c r="D106" s="4">
        <f>IF(B106,B106-$C$4," ")</f>
        <v>-33.800000000000011</v>
      </c>
      <c r="E106" s="4">
        <f>IF(B106,INT(D106)," ")</f>
        <v>-34</v>
      </c>
      <c r="F106" s="4">
        <f>IF(B106,((D106-E106)/60*100)," ")</f>
        <v>0.33333333333331439</v>
      </c>
      <c r="G106" s="4">
        <f>IF(B106,C106*COS(PI()/180*(E106+F106))," ")</f>
        <v>124.84151650834163</v>
      </c>
      <c r="H106" s="4">
        <f>IF(B106,(C106*SIN(PI()/180*(E106+F106)))," ")</f>
        <v>-83.154048343405776</v>
      </c>
      <c r="I106" s="4"/>
      <c r="J106" s="4"/>
      <c r="K106" s="4">
        <f t="shared" si="12"/>
        <v>8.6987528327720867</v>
      </c>
      <c r="L106" s="4">
        <f t="shared" si="13"/>
        <v>-102.3591742866396</v>
      </c>
      <c r="M106" s="4">
        <f t="shared" si="14"/>
        <v>75.668300845660397</v>
      </c>
      <c r="N106" s="4">
        <f t="shared" si="15"/>
        <v>10477.400560642662</v>
      </c>
      <c r="O106" s="4"/>
      <c r="P106" s="4"/>
      <c r="Q106" s="4"/>
      <c r="R106" s="4"/>
      <c r="S106" s="4"/>
      <c r="T106" s="4"/>
      <c r="U106" s="4"/>
      <c r="V106" s="4"/>
      <c r="W106" s="5"/>
    </row>
    <row r="107" spans="1:23">
      <c r="A107" s="3">
        <v>18</v>
      </c>
      <c r="B107" s="25">
        <v>245.05</v>
      </c>
      <c r="C107" s="25">
        <v>142</v>
      </c>
      <c r="D107" s="4">
        <f>IF(B107,B107-$C$4," ")</f>
        <v>-24.949999999999989</v>
      </c>
      <c r="E107" s="4">
        <f>IF(B107,INT(D107)," ")</f>
        <v>-25</v>
      </c>
      <c r="F107" s="4">
        <f>IF(B107,((D107-E107)/60*100)," ")</f>
        <v>8.3333333333352286E-2</v>
      </c>
      <c r="G107" s="4">
        <f>IF(B107,C107*COS(PI()/180*(E107+F107))," ")</f>
        <v>128.78285322215368</v>
      </c>
      <c r="H107" s="4">
        <f>IF(B107,(C107*SIN(PI()/180*(E107+F107)))," ")</f>
        <v>-59.82454944219154</v>
      </c>
      <c r="I107" s="4"/>
      <c r="J107" s="4"/>
      <c r="K107" s="4">
        <f t="shared" si="12"/>
        <v>12.640089546584136</v>
      </c>
      <c r="L107" s="4">
        <f t="shared" si="13"/>
        <v>-79.029675385425364</v>
      </c>
      <c r="M107" s="4">
        <f t="shared" si="14"/>
        <v>159.77186374566554</v>
      </c>
      <c r="N107" s="4">
        <f t="shared" si="15"/>
        <v>6245.6895915257073</v>
      </c>
      <c r="O107" s="4"/>
      <c r="P107" s="4"/>
      <c r="Q107" s="4"/>
      <c r="R107" s="4"/>
      <c r="S107" s="4"/>
      <c r="T107" s="4"/>
      <c r="U107" s="4"/>
      <c r="V107" s="4"/>
      <c r="W107" s="5"/>
    </row>
    <row r="108" spans="1:23">
      <c r="A108" s="3">
        <v>19</v>
      </c>
      <c r="B108" s="25">
        <v>237.45</v>
      </c>
      <c r="C108" s="25">
        <v>160</v>
      </c>
      <c r="D108" s="4">
        <f>IF(B108,B108-$C$4," ")</f>
        <v>-32.550000000000011</v>
      </c>
      <c r="E108" s="4">
        <f>IF(B108,INT(D108)," ")</f>
        <v>-33</v>
      </c>
      <c r="F108" s="4">
        <f>IF(B108,((D108-E108)/60*100)," ")</f>
        <v>0.74999999999998102</v>
      </c>
      <c r="G108" s="4">
        <f>IF(B108,C108*COS(PI()/180*(E108+F108))," ")</f>
        <v>135.31645147263569</v>
      </c>
      <c r="H108" s="4">
        <f>IF(B108,(C108*SIN(PI()/180*(E108+F108)))," ")</f>
        <v>-85.378322546497884</v>
      </c>
      <c r="I108" s="4"/>
      <c r="J108" s="4"/>
      <c r="K108" s="4">
        <f t="shared" si="12"/>
        <v>19.173687797066151</v>
      </c>
      <c r="L108" s="4">
        <f t="shared" si="13"/>
        <v>-104.58344848973171</v>
      </c>
      <c r="M108" s="4">
        <f t="shared" si="14"/>
        <v>367.63030373936346</v>
      </c>
      <c r="N108" s="4">
        <f t="shared" si="15"/>
        <v>10937.697698004366</v>
      </c>
      <c r="O108" s="4"/>
      <c r="P108" s="4"/>
      <c r="Q108" s="4"/>
      <c r="R108" s="4"/>
      <c r="S108" s="4"/>
      <c r="T108" s="4"/>
      <c r="U108" s="4"/>
      <c r="V108" s="4"/>
      <c r="W108" s="5"/>
    </row>
    <row r="109" spans="1:23" ht="15.75" thickBot="1">
      <c r="A109" s="3">
        <v>20</v>
      </c>
      <c r="B109" s="26">
        <v>237</v>
      </c>
      <c r="C109" s="25">
        <v>162</v>
      </c>
      <c r="D109" s="4">
        <f>IF(B109,B109-$C$4," ")</f>
        <v>-33</v>
      </c>
      <c r="E109" s="4">
        <f>IF(B109,INT(D109)," ")</f>
        <v>-33</v>
      </c>
      <c r="F109" s="4">
        <f>IF(B109,((D109-E109)/60*100)," ")</f>
        <v>0</v>
      </c>
      <c r="G109" s="4">
        <f>IF(B109,C109*COS(PI()/180*(E109+F109))," ")</f>
        <v>135.86463200715869</v>
      </c>
      <c r="H109" s="4">
        <f>IF(B109,(C109*SIN(PI()/180*(E109+F109)))," ")</f>
        <v>-88.231523672434392</v>
      </c>
      <c r="I109" s="4"/>
      <c r="J109" s="4"/>
      <c r="K109" s="4">
        <f t="shared" si="12"/>
        <v>19.72186833158915</v>
      </c>
      <c r="L109" s="4">
        <f t="shared" si="13"/>
        <v>-107.43664961566822</v>
      </c>
      <c r="M109" s="4">
        <f t="shared" si="14"/>
        <v>388.952090488539</v>
      </c>
      <c r="N109" s="4">
        <f t="shared" si="15"/>
        <v>11542.633680639861</v>
      </c>
      <c r="O109" s="4"/>
      <c r="P109" s="4"/>
      <c r="Q109" s="4"/>
      <c r="R109" s="4"/>
      <c r="S109" s="4"/>
      <c r="T109" s="4"/>
      <c r="U109" s="4"/>
      <c r="V109" s="4"/>
      <c r="W109" s="5"/>
    </row>
    <row r="110" spans="1:23">
      <c r="A110" s="3">
        <v>21</v>
      </c>
      <c r="B110" s="25">
        <v>241.2</v>
      </c>
      <c r="C110" s="25">
        <v>158</v>
      </c>
      <c r="D110" s="4">
        <f>IF(B110,B110-$C$4," ")</f>
        <v>-28.800000000000011</v>
      </c>
      <c r="E110" s="4">
        <f>IF(B110,INT(D110)," ")</f>
        <v>-29</v>
      </c>
      <c r="F110" s="4">
        <f>IF(B110,((D110-E110)/60*100)," ")</f>
        <v>0.33333333333331439</v>
      </c>
      <c r="G110" s="4">
        <f>IF(B110,C110*COS(PI()/180*(E110+F110))," ")</f>
        <v>138.6332128768239</v>
      </c>
      <c r="H110" s="4">
        <f>IF(B110,(C110*SIN(PI()/180*(E110+F110)))," ")</f>
        <v>-75.794671893538947</v>
      </c>
      <c r="I110" s="4"/>
      <c r="J110" s="4"/>
      <c r="K110" s="4">
        <f t="shared" si="12"/>
        <v>22.490449201254364</v>
      </c>
      <c r="L110" s="4">
        <f t="shared" si="13"/>
        <v>-94.999797836772771</v>
      </c>
      <c r="M110" s="4">
        <f t="shared" si="14"/>
        <v>505.82030527420306</v>
      </c>
      <c r="N110" s="4">
        <f t="shared" si="15"/>
        <v>9024.9615890276964</v>
      </c>
      <c r="O110" s="4"/>
      <c r="P110" s="4"/>
      <c r="Q110" s="4"/>
      <c r="R110" s="4"/>
      <c r="S110" s="4"/>
      <c r="T110" s="4"/>
      <c r="U110" s="4"/>
      <c r="V110" s="4"/>
      <c r="W110" s="5"/>
    </row>
    <row r="111" spans="1:23" ht="15.75" thickBot="1">
      <c r="A111" s="3">
        <v>22</v>
      </c>
      <c r="B111" s="26">
        <v>239.55</v>
      </c>
      <c r="C111" s="26">
        <v>172</v>
      </c>
      <c r="D111" s="4">
        <f>IF(B111,B111-$C$4," ")</f>
        <v>-30.449999999999989</v>
      </c>
      <c r="E111" s="4">
        <f>IF(B111,INT(D111)," ")</f>
        <v>-31</v>
      </c>
      <c r="F111" s="4">
        <f>IF(B111,((D111-E111)/60*100)," ")</f>
        <v>0.91666666666668561</v>
      </c>
      <c r="G111" s="4">
        <f>IF(B111,C111*COS(PI()/180*(E111+F111))," ")</f>
        <v>148.83113001426591</v>
      </c>
      <c r="H111" s="4">
        <f>IF(B111,(C111*SIN(PI()/180*(E111+F111)))," ")</f>
        <v>-86.216557218881533</v>
      </c>
      <c r="I111" s="4"/>
      <c r="J111" s="4"/>
      <c r="K111" s="4">
        <f t="shared" si="12"/>
        <v>32.688366338696369</v>
      </c>
      <c r="L111" s="4">
        <f t="shared" si="13"/>
        <v>-105.42168316211536</v>
      </c>
      <c r="M111" s="4">
        <f t="shared" si="14"/>
        <v>1068.5292938928178</v>
      </c>
      <c r="N111" s="4">
        <f t="shared" si="15"/>
        <v>11113.731280733437</v>
      </c>
      <c r="O111" s="4"/>
      <c r="P111" s="4"/>
      <c r="Q111" s="4"/>
      <c r="R111" s="4"/>
      <c r="S111" s="4"/>
      <c r="T111" s="4"/>
      <c r="U111" s="4"/>
      <c r="V111" s="4"/>
      <c r="W111" s="5"/>
    </row>
    <row r="112" spans="1:23">
      <c r="A112" s="3">
        <v>23</v>
      </c>
      <c r="B112" s="25"/>
      <c r="C112" s="25"/>
      <c r="D112" s="4" t="str">
        <f>IF(B112,B112-$C$4," ")</f>
        <v xml:space="preserve"> </v>
      </c>
      <c r="E112" s="4" t="str">
        <f>IF(B112,INT(D112)," ")</f>
        <v xml:space="preserve"> </v>
      </c>
      <c r="F112" s="4" t="str">
        <f>IF(B112,((D112-E112)/60*100)," ")</f>
        <v xml:space="preserve"> </v>
      </c>
      <c r="G112" s="4" t="str">
        <f>IF(B112,C112*COS(PI()/180*(E112+F112))," ")</f>
        <v xml:space="preserve"> </v>
      </c>
      <c r="H112" s="4" t="str">
        <f>IF(B112,(C112*SIN(PI()/180*(E112+F112)))," ")</f>
        <v xml:space="preserve"> </v>
      </c>
      <c r="I112" s="4"/>
      <c r="J112" s="4"/>
      <c r="K112" s="4" t="str">
        <f t="shared" si="12"/>
        <v xml:space="preserve"> </v>
      </c>
      <c r="L112" s="4" t="str">
        <f t="shared" si="13"/>
        <v xml:space="preserve"> </v>
      </c>
      <c r="M112" s="4" t="str">
        <f t="shared" si="14"/>
        <v xml:space="preserve"> </v>
      </c>
      <c r="N112" s="4" t="str">
        <f t="shared" si="15"/>
        <v xml:space="preserve"> </v>
      </c>
      <c r="O112" s="4"/>
      <c r="P112" s="4"/>
      <c r="Q112" s="4"/>
      <c r="R112" s="4"/>
      <c r="S112" s="4"/>
      <c r="T112" s="4"/>
      <c r="U112" s="4"/>
      <c r="V112" s="4"/>
      <c r="W112" s="5"/>
    </row>
    <row r="113" spans="1:23" ht="15.75" thickBot="1">
      <c r="A113" s="6">
        <v>24</v>
      </c>
      <c r="B113" s="26"/>
      <c r="C113" s="25"/>
      <c r="D113" s="7" t="str">
        <f>IF(B113,B113-$C$4," ")</f>
        <v xml:space="preserve"> </v>
      </c>
      <c r="E113" s="7" t="str">
        <f>IF(B113,INT(D113)," ")</f>
        <v xml:space="preserve"> </v>
      </c>
      <c r="F113" s="7" t="str">
        <f>IF(B113,((D113-E113)/60*100)," ")</f>
        <v xml:space="preserve"> </v>
      </c>
      <c r="G113" s="7" t="str">
        <f>IF(B113,C113*COS(PI()/180*(E113+F113))," ")</f>
        <v xml:space="preserve"> </v>
      </c>
      <c r="H113" s="7" t="str">
        <f>IF(B113,(C113*SIN(PI()/180*(E113+F113)))," ")</f>
        <v xml:space="preserve"> </v>
      </c>
      <c r="I113" s="7"/>
      <c r="J113" s="7"/>
      <c r="K113" s="7" t="str">
        <f t="shared" si="12"/>
        <v xml:space="preserve"> </v>
      </c>
      <c r="L113" s="7" t="str">
        <f t="shared" si="13"/>
        <v xml:space="preserve"> </v>
      </c>
      <c r="M113" s="7" t="str">
        <f t="shared" si="14"/>
        <v xml:space="preserve"> </v>
      </c>
      <c r="N113" s="7" t="str">
        <f t="shared" si="15"/>
        <v xml:space="preserve"> </v>
      </c>
      <c r="O113" s="7"/>
      <c r="P113" s="7"/>
      <c r="Q113" s="7"/>
      <c r="R113" s="7"/>
      <c r="S113" s="7"/>
      <c r="T113" s="7"/>
      <c r="U113" s="7"/>
      <c r="V113" s="7"/>
      <c r="W113" s="8"/>
    </row>
    <row r="114" spans="1:23">
      <c r="B114" s="25"/>
      <c r="C114" s="25"/>
    </row>
    <row r="115" spans="1:23" ht="15.75" thickBot="1">
      <c r="B115" s="26"/>
      <c r="C115" s="26"/>
    </row>
  </sheetData>
  <sortState ref="B90:H113">
    <sortCondition ref="G90:G113"/>
  </sortState>
  <mergeCells count="7">
    <mergeCell ref="A88:W88"/>
    <mergeCell ref="B1:W1"/>
    <mergeCell ref="I2:J3"/>
    <mergeCell ref="B5:B6"/>
    <mergeCell ref="A10:W10"/>
    <mergeCell ref="A36:W36"/>
    <mergeCell ref="A62:W62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0"/>
  </sheetPr>
  <dimension ref="A1:W62"/>
  <sheetViews>
    <sheetView topLeftCell="A28" zoomScale="70" zoomScaleNormal="70" workbookViewId="0">
      <selection activeCell="K4" sqref="K4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68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9"/>
      <c r="H2" s="29"/>
      <c r="I2" s="107" t="s">
        <v>23</v>
      </c>
      <c r="J2" s="10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IF(E6,((I12+I38)/2),I12)</f>
        <v>144.1353966745221</v>
      </c>
      <c r="J4" s="117">
        <f>IF(E6,((J12+J38)/2),J12)</f>
        <v>-28.705682034847566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23</v>
      </c>
      <c r="D6" s="22">
        <v>23</v>
      </c>
      <c r="E6" s="22">
        <v>0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255.55</v>
      </c>
      <c r="C12" s="25">
        <v>80</v>
      </c>
      <c r="D12" s="4">
        <f>IF(B12,B12-$C$4," ")</f>
        <v>-14.449999999999989</v>
      </c>
      <c r="E12" s="4">
        <f>IF(B12,INT(D12)," ")</f>
        <v>-15</v>
      </c>
      <c r="F12" s="4">
        <f>IF(B12,((D12-E12)/60*100)," ")</f>
        <v>0.91666666666668561</v>
      </c>
      <c r="G12" s="4">
        <f>IF(B12,C12*COS(PI()/180*(E12+F12))," ")</f>
        <v>77.595427118784755</v>
      </c>
      <c r="H12" s="4">
        <f>IF(B12,(C12*SIN(PI()/180*(E12+F12)))," ")</f>
        <v>-19.466630171998556</v>
      </c>
      <c r="I12" s="4">
        <f>SUM(G12:G34)/D6</f>
        <v>144.1353966745221</v>
      </c>
      <c r="J12" s="4">
        <f>SUM(H12:H34)/D6</f>
        <v>-28.705682034847566</v>
      </c>
      <c r="K12" s="4">
        <f>IF(B12,SUM(G12,-$I$12)," ")</f>
        <v>-66.539969555737343</v>
      </c>
      <c r="L12" s="4">
        <f>IF(B12,SUM(H12,-$J$12)," ")</f>
        <v>9.2390518628490099</v>
      </c>
      <c r="M12" s="4">
        <f>IF(B12,POWER(K12,2)," ")</f>
        <v>4427.5675484784524</v>
      </c>
      <c r="N12" s="4">
        <f>IF(B12,POWER(L12,2)," ")</f>
        <v>85.360079324413761</v>
      </c>
      <c r="O12" s="4">
        <f>D6-1</f>
        <v>22</v>
      </c>
      <c r="P12" s="4">
        <f>SUM(M12:M35)</f>
        <v>27592.728155462875</v>
      </c>
      <c r="Q12" s="4">
        <f>SUM(N12:N35)</f>
        <v>1122.6104655623626</v>
      </c>
      <c r="R12" s="4">
        <f>PRODUCT(P12,1/$O$12)</f>
        <v>1254.2149161574034</v>
      </c>
      <c r="S12" s="4">
        <f>PRODUCT(Q12,1/$O$12)</f>
        <v>51.02774843465285</v>
      </c>
      <c r="T12" s="4">
        <f>SQRT(R12)</f>
        <v>35.414896811333556</v>
      </c>
      <c r="U12" s="4">
        <f>SQRT(S12)</f>
        <v>7.1433709433749026</v>
      </c>
      <c r="V12" s="4">
        <f>PRODUCT(T12:U12)</f>
        <v>252.98174484470061</v>
      </c>
      <c r="W12" s="10">
        <f>SQRT(V12)</f>
        <v>15.905399864344833</v>
      </c>
    </row>
    <row r="13" spans="1:23">
      <c r="A13" s="3">
        <v>2</v>
      </c>
      <c r="B13" s="25">
        <v>256.35000000000002</v>
      </c>
      <c r="C13" s="25">
        <v>90</v>
      </c>
      <c r="D13" s="4">
        <f t="shared" ref="D13:D35" si="0">IF(B13,B13-$C$4," ")</f>
        <v>-13.649999999999977</v>
      </c>
      <c r="E13" s="4">
        <f t="shared" ref="E13:E35" si="1">IF(B13,INT(D13)," ")</f>
        <v>-14</v>
      </c>
      <c r="F13" s="4">
        <f t="shared" ref="F13:F35" si="2">IF(B13,((D13-E13)/60*100)," ")</f>
        <v>0.58333333333337123</v>
      </c>
      <c r="G13" s="4">
        <f t="shared" ref="G13:G35" si="3">IF(B13,C13*COS(PI()/180*(E13+F13))," ")</f>
        <v>87.543758188949468</v>
      </c>
      <c r="H13" s="4">
        <f t="shared" ref="H13:H35" si="4">IF(B13,(C13*SIN(PI()/180*(E13+F13)))," ")</f>
        <v>-20.882777644622447</v>
      </c>
      <c r="I13" s="4"/>
      <c r="J13" s="4"/>
      <c r="K13" s="4">
        <f t="shared" ref="K13:K35" si="5">IF(B13,SUM(G13,-$I$12)," ")</f>
        <v>-56.591638485572631</v>
      </c>
      <c r="L13" s="4">
        <f t="shared" ref="L13:L35" si="6">IF(B13,SUM(H13,-$J$12)," ")</f>
        <v>7.8229043902251192</v>
      </c>
      <c r="M13" s="4">
        <f t="shared" ref="M13:M35" si="7">IF(B13,POWER(K13,2)," ")</f>
        <v>3202.6135464817453</v>
      </c>
      <c r="N13" s="4">
        <f t="shared" ref="N13:N34" si="8">IF(B13,POWER(L13,2)," ")</f>
        <v>61.197833098603446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256.55</v>
      </c>
      <c r="C14" s="25">
        <v>120</v>
      </c>
      <c r="D14" s="4">
        <f t="shared" si="0"/>
        <v>-13.449999999999989</v>
      </c>
      <c r="E14" s="4">
        <f t="shared" si="1"/>
        <v>-14</v>
      </c>
      <c r="F14" s="4">
        <f t="shared" si="2"/>
        <v>0.91666666666668561</v>
      </c>
      <c r="G14" s="4">
        <f t="shared" si="3"/>
        <v>116.88502275167801</v>
      </c>
      <c r="H14" s="4">
        <f t="shared" si="4"/>
        <v>-27.164157567274469</v>
      </c>
      <c r="I14" s="4"/>
      <c r="J14" s="4"/>
      <c r="K14" s="4">
        <f t="shared" si="5"/>
        <v>-27.250373922844091</v>
      </c>
      <c r="L14" s="4">
        <f t="shared" si="6"/>
        <v>1.5415244675730975</v>
      </c>
      <c r="M14" s="4">
        <f t="shared" si="7"/>
        <v>742.58287893482122</v>
      </c>
      <c r="N14" s="4">
        <f t="shared" si="8"/>
        <v>2.3762976841265218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257.05</v>
      </c>
      <c r="C15" s="25">
        <v>126</v>
      </c>
      <c r="D15" s="4">
        <f t="shared" si="0"/>
        <v>-12.949999999999989</v>
      </c>
      <c r="E15" s="4">
        <f t="shared" si="1"/>
        <v>-13</v>
      </c>
      <c r="F15" s="4">
        <f t="shared" si="2"/>
        <v>8.3333333333352286E-2</v>
      </c>
      <c r="G15" s="4">
        <f t="shared" si="3"/>
        <v>122.81172272783</v>
      </c>
      <c r="H15" s="4">
        <f t="shared" si="4"/>
        <v>-28.165240290517744</v>
      </c>
      <c r="I15" s="4"/>
      <c r="J15" s="4"/>
      <c r="K15" s="4">
        <f t="shared" si="5"/>
        <v>-21.323673946692097</v>
      </c>
      <c r="L15" s="4">
        <f t="shared" si="6"/>
        <v>0.54044174432982217</v>
      </c>
      <c r="M15" s="4">
        <f t="shared" si="7"/>
        <v>454.69907058483528</v>
      </c>
      <c r="N15" s="4">
        <f t="shared" si="8"/>
        <v>0.29207727901426089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256.10000000000002</v>
      </c>
      <c r="C16" s="25">
        <v>130</v>
      </c>
      <c r="D16" s="4">
        <f t="shared" si="0"/>
        <v>-13.899999999999977</v>
      </c>
      <c r="E16" s="4">
        <f t="shared" si="1"/>
        <v>-14</v>
      </c>
      <c r="F16" s="4">
        <f t="shared" si="2"/>
        <v>0.16666666666670457</v>
      </c>
      <c r="G16" s="4">
        <f t="shared" si="3"/>
        <v>126.2293945159268</v>
      </c>
      <c r="H16" s="4">
        <f t="shared" si="4"/>
        <v>-31.082792026175976</v>
      </c>
      <c r="I16" s="4"/>
      <c r="J16" s="4"/>
      <c r="K16" s="4">
        <f t="shared" si="5"/>
        <v>-17.9060021585953</v>
      </c>
      <c r="L16" s="4">
        <f t="shared" si="6"/>
        <v>-2.3771099913284104</v>
      </c>
      <c r="M16" s="4">
        <f t="shared" si="7"/>
        <v>320.62491330361951</v>
      </c>
      <c r="N16" s="4">
        <f t="shared" si="8"/>
        <v>5.6506519108733553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259</v>
      </c>
      <c r="C17" s="25">
        <v>132</v>
      </c>
      <c r="D17" s="4">
        <f t="shared" si="0"/>
        <v>-11</v>
      </c>
      <c r="E17" s="4">
        <f t="shared" si="1"/>
        <v>-11</v>
      </c>
      <c r="F17" s="4">
        <f t="shared" si="2"/>
        <v>0</v>
      </c>
      <c r="G17" s="4">
        <f t="shared" si="3"/>
        <v>129.57478821509164</v>
      </c>
      <c r="H17" s="4">
        <f t="shared" si="4"/>
        <v>-25.186787389703913</v>
      </c>
      <c r="I17" s="4"/>
      <c r="J17" s="4"/>
      <c r="K17" s="4">
        <f t="shared" si="5"/>
        <v>-14.560608459430455</v>
      </c>
      <c r="L17" s="4">
        <f t="shared" si="6"/>
        <v>3.5188946451436536</v>
      </c>
      <c r="M17" s="4">
        <f t="shared" si="7"/>
        <v>212.01131870883773</v>
      </c>
      <c r="N17" s="4">
        <f t="shared" si="8"/>
        <v>12.382619523620679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261.35000000000002</v>
      </c>
      <c r="C18" s="25">
        <v>138</v>
      </c>
      <c r="D18" s="4">
        <f t="shared" si="0"/>
        <v>-8.6499999999999773</v>
      </c>
      <c r="E18" s="4">
        <f t="shared" si="1"/>
        <v>-9</v>
      </c>
      <c r="F18" s="4">
        <f t="shared" si="2"/>
        <v>0.58333333333337123</v>
      </c>
      <c r="G18" s="4">
        <f t="shared" si="3"/>
        <v>136.51371202449977</v>
      </c>
      <c r="H18" s="4">
        <f t="shared" si="4"/>
        <v>-20.199169024787736</v>
      </c>
      <c r="I18" s="4"/>
      <c r="J18" s="4"/>
      <c r="K18" s="4">
        <f t="shared" si="5"/>
        <v>-7.6216846500223312</v>
      </c>
      <c r="L18" s="4">
        <f t="shared" si="6"/>
        <v>8.5065130100598303</v>
      </c>
      <c r="M18" s="4">
        <f t="shared" si="7"/>
        <v>58.090076904386024</v>
      </c>
      <c r="N18" s="4">
        <f t="shared" si="8"/>
        <v>72.360763590317148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255.55</v>
      </c>
      <c r="C19" s="25">
        <v>146</v>
      </c>
      <c r="D19" s="4">
        <f t="shared" si="0"/>
        <v>-14.449999999999989</v>
      </c>
      <c r="E19" s="4">
        <f t="shared" si="1"/>
        <v>-15</v>
      </c>
      <c r="F19" s="4">
        <f t="shared" si="2"/>
        <v>0.91666666666668561</v>
      </c>
      <c r="G19" s="4">
        <f t="shared" si="3"/>
        <v>141.61165449178216</v>
      </c>
      <c r="H19" s="4">
        <f t="shared" si="4"/>
        <v>-35.526600063897362</v>
      </c>
      <c r="I19" s="4"/>
      <c r="J19" s="4"/>
      <c r="K19" s="4">
        <f t="shared" si="5"/>
        <v>-2.5237421827399373</v>
      </c>
      <c r="L19" s="4">
        <f t="shared" si="6"/>
        <v>-6.8209180290497962</v>
      </c>
      <c r="M19" s="4">
        <f t="shared" si="7"/>
        <v>6.3692746049409434</v>
      </c>
      <c r="N19" s="4">
        <f t="shared" si="8"/>
        <v>46.524922759016555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262.05</v>
      </c>
      <c r="C20" s="25">
        <v>160</v>
      </c>
      <c r="D20" s="4">
        <f t="shared" si="0"/>
        <v>-7.9499999999999886</v>
      </c>
      <c r="E20" s="4">
        <f t="shared" si="1"/>
        <v>-8</v>
      </c>
      <c r="F20" s="4">
        <f t="shared" si="2"/>
        <v>8.3333333333352286E-2</v>
      </c>
      <c r="G20" s="4">
        <f t="shared" si="3"/>
        <v>158.47511045354173</v>
      </c>
      <c r="H20" s="4">
        <f t="shared" si="4"/>
        <v>-22.037226838641665</v>
      </c>
      <c r="I20" s="4"/>
      <c r="J20" s="4"/>
      <c r="K20" s="4">
        <f t="shared" si="5"/>
        <v>14.339713779019633</v>
      </c>
      <c r="L20" s="4">
        <f t="shared" si="6"/>
        <v>6.6684551962059011</v>
      </c>
      <c r="M20" s="4">
        <f t="shared" si="7"/>
        <v>205.6273912642055</v>
      </c>
      <c r="N20" s="4">
        <f t="shared" si="8"/>
        <v>44.468294703805483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263.05</v>
      </c>
      <c r="C21" s="25">
        <v>164</v>
      </c>
      <c r="D21" s="4">
        <f t="shared" si="0"/>
        <v>-6.9499999999999886</v>
      </c>
      <c r="E21" s="4">
        <f t="shared" si="1"/>
        <v>-7</v>
      </c>
      <c r="F21" s="4">
        <f t="shared" si="2"/>
        <v>8.3333333333352286E-2</v>
      </c>
      <c r="G21" s="4">
        <f t="shared" si="3"/>
        <v>162.80646598032098</v>
      </c>
      <c r="H21" s="4">
        <f t="shared" si="4"/>
        <v>-19.749800885036475</v>
      </c>
      <c r="I21" s="4"/>
      <c r="J21" s="4"/>
      <c r="K21" s="4">
        <f t="shared" si="5"/>
        <v>18.671069305798881</v>
      </c>
      <c r="L21" s="4">
        <f t="shared" si="6"/>
        <v>8.9558811498110913</v>
      </c>
      <c r="M21" s="4">
        <f t="shared" si="7"/>
        <v>348.6088290219451</v>
      </c>
      <c r="N21" s="4">
        <f t="shared" si="8"/>
        <v>80.207807169541638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257.25</v>
      </c>
      <c r="C22" s="25">
        <v>164</v>
      </c>
      <c r="D22" s="4">
        <f t="shared" si="0"/>
        <v>-12.75</v>
      </c>
      <c r="E22" s="4">
        <f t="shared" si="1"/>
        <v>-13</v>
      </c>
      <c r="F22" s="4">
        <f t="shared" si="2"/>
        <v>0.41666666666666669</v>
      </c>
      <c r="G22" s="4">
        <f t="shared" si="3"/>
        <v>160.06074885506416</v>
      </c>
      <c r="H22" s="4">
        <f t="shared" si="4"/>
        <v>-35.728933316796258</v>
      </c>
      <c r="I22" s="4"/>
      <c r="J22" s="4"/>
      <c r="K22" s="4">
        <f t="shared" si="5"/>
        <v>15.925352180542063</v>
      </c>
      <c r="L22" s="4">
        <f t="shared" si="6"/>
        <v>-7.0232512819486921</v>
      </c>
      <c r="M22" s="4">
        <f t="shared" si="7"/>
        <v>253.61684207429585</v>
      </c>
      <c r="N22" s="4">
        <f t="shared" si="8"/>
        <v>49.326058569393943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259.05</v>
      </c>
      <c r="C23" s="25">
        <v>166</v>
      </c>
      <c r="D23" s="4">
        <f t="shared" si="0"/>
        <v>-10.949999999999989</v>
      </c>
      <c r="E23" s="4">
        <f t="shared" si="1"/>
        <v>-11</v>
      </c>
      <c r="F23" s="4">
        <f t="shared" si="2"/>
        <v>8.3333333333352286E-2</v>
      </c>
      <c r="G23" s="4">
        <f t="shared" si="3"/>
        <v>162.99600847596426</v>
      </c>
      <c r="H23" s="4">
        <f t="shared" si="4"/>
        <v>-31.437258482625214</v>
      </c>
      <c r="I23" s="4"/>
      <c r="J23" s="4"/>
      <c r="K23" s="4">
        <f t="shared" si="5"/>
        <v>18.860611801442161</v>
      </c>
      <c r="L23" s="4">
        <f t="shared" si="6"/>
        <v>-2.7315764477776483</v>
      </c>
      <c r="M23" s="4">
        <f t="shared" si="7"/>
        <v>355.72267752469929</v>
      </c>
      <c r="N23" s="4">
        <f t="shared" si="8"/>
        <v>7.4615098900535557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258.39999999999998</v>
      </c>
      <c r="C24" s="25">
        <v>176</v>
      </c>
      <c r="D24" s="4">
        <f t="shared" si="0"/>
        <v>-11.600000000000023</v>
      </c>
      <c r="E24" s="4">
        <f t="shared" si="1"/>
        <v>-12</v>
      </c>
      <c r="F24" s="4">
        <f t="shared" si="2"/>
        <v>0.66666666666662877</v>
      </c>
      <c r="G24" s="4">
        <f t="shared" si="3"/>
        <v>172.56808725305234</v>
      </c>
      <c r="H24" s="4">
        <f t="shared" si="4"/>
        <v>-34.586923277778219</v>
      </c>
      <c r="I24" s="4"/>
      <c r="J24" s="4"/>
      <c r="K24" s="4">
        <f t="shared" si="5"/>
        <v>28.432690578530242</v>
      </c>
      <c r="L24" s="4">
        <f t="shared" si="6"/>
        <v>-5.8812412429306526</v>
      </c>
      <c r="M24" s="4">
        <f t="shared" si="7"/>
        <v>808.41789353444233</v>
      </c>
      <c r="N24" s="4">
        <f t="shared" si="8"/>
        <v>34.588998557548486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260</v>
      </c>
      <c r="C25" s="25">
        <v>176</v>
      </c>
      <c r="D25" s="4">
        <f t="shared" si="0"/>
        <v>-10</v>
      </c>
      <c r="E25" s="4">
        <f t="shared" si="1"/>
        <v>-10</v>
      </c>
      <c r="F25" s="4">
        <f t="shared" si="2"/>
        <v>0</v>
      </c>
      <c r="G25" s="4">
        <f t="shared" si="3"/>
        <v>173.32616453014862</v>
      </c>
      <c r="H25" s="4">
        <f t="shared" si="4"/>
        <v>-30.562079269379737</v>
      </c>
      <c r="I25" s="4"/>
      <c r="J25" s="4"/>
      <c r="K25" s="4">
        <f t="shared" si="5"/>
        <v>29.190767855626518</v>
      </c>
      <c r="L25" s="4">
        <f t="shared" si="6"/>
        <v>-1.8563972345321709</v>
      </c>
      <c r="M25" s="4">
        <f t="shared" si="7"/>
        <v>852.10092800107839</v>
      </c>
      <c r="N25" s="4">
        <f t="shared" si="8"/>
        <v>3.4462106923786919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260.45</v>
      </c>
      <c r="C26" s="25">
        <v>176</v>
      </c>
      <c r="D26" s="4">
        <f t="shared" si="0"/>
        <v>-9.5500000000000114</v>
      </c>
      <c r="E26" s="4">
        <f t="shared" si="1"/>
        <v>-10</v>
      </c>
      <c r="F26" s="4">
        <f t="shared" si="2"/>
        <v>0.74999999999998102</v>
      </c>
      <c r="G26" s="4">
        <f t="shared" si="3"/>
        <v>173.71136051460081</v>
      </c>
      <c r="H26" s="4">
        <f t="shared" si="4"/>
        <v>-28.290691546273454</v>
      </c>
      <c r="I26" s="4"/>
      <c r="J26" s="4"/>
      <c r="K26" s="4">
        <f t="shared" si="5"/>
        <v>29.575963840078714</v>
      </c>
      <c r="L26" s="4">
        <f t="shared" si="6"/>
        <v>0.41499048857411225</v>
      </c>
      <c r="M26" s="4">
        <f t="shared" si="7"/>
        <v>874.7376370696436</v>
      </c>
      <c r="N26" s="4">
        <f t="shared" si="8"/>
        <v>0.17221710560698039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261.45</v>
      </c>
      <c r="C27" s="25">
        <v>176</v>
      </c>
      <c r="D27" s="4">
        <f t="shared" si="0"/>
        <v>-8.5500000000000114</v>
      </c>
      <c r="E27" s="4">
        <f t="shared" si="1"/>
        <v>-9</v>
      </c>
      <c r="F27" s="4">
        <f t="shared" si="2"/>
        <v>0.74999999999998102</v>
      </c>
      <c r="G27" s="4">
        <f t="shared" si="3"/>
        <v>174.17864408026193</v>
      </c>
      <c r="H27" s="4">
        <f t="shared" si="4"/>
        <v>-25.254701470447618</v>
      </c>
      <c r="I27" s="4"/>
      <c r="J27" s="4"/>
      <c r="K27" s="4">
        <f t="shared" si="5"/>
        <v>30.043247405739834</v>
      </c>
      <c r="L27" s="4">
        <f t="shared" si="6"/>
        <v>3.4509805643999485</v>
      </c>
      <c r="M27" s="4">
        <f t="shared" si="7"/>
        <v>902.59671468249326</v>
      </c>
      <c r="N27" s="4">
        <f t="shared" si="8"/>
        <v>11.909266855866187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264.25</v>
      </c>
      <c r="C28" s="25">
        <v>189</v>
      </c>
      <c r="D28" s="4">
        <f t="shared" si="0"/>
        <v>-5.75</v>
      </c>
      <c r="E28" s="4">
        <f t="shared" si="1"/>
        <v>-6</v>
      </c>
      <c r="F28" s="4">
        <f t="shared" si="2"/>
        <v>0.41666666666666669</v>
      </c>
      <c r="G28" s="4">
        <f t="shared" si="3"/>
        <v>188.10333553856341</v>
      </c>
      <c r="H28" s="4">
        <f t="shared" si="4"/>
        <v>-18.388451790910196</v>
      </c>
      <c r="I28" s="4"/>
      <c r="J28" s="4"/>
      <c r="K28" s="4">
        <f t="shared" si="5"/>
        <v>43.967938864041315</v>
      </c>
      <c r="L28" s="4">
        <f t="shared" si="6"/>
        <v>10.31723024393737</v>
      </c>
      <c r="M28" s="4">
        <f t="shared" si="7"/>
        <v>1933.1796479520747</v>
      </c>
      <c r="N28" s="4">
        <f t="shared" si="8"/>
        <v>106.44523990641596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261.35000000000002</v>
      </c>
      <c r="C29" s="25">
        <v>178</v>
      </c>
      <c r="D29" s="4">
        <f t="shared" si="0"/>
        <v>-8.6499999999999773</v>
      </c>
      <c r="E29" s="4">
        <f t="shared" si="1"/>
        <v>-9</v>
      </c>
      <c r="F29" s="4">
        <f t="shared" si="2"/>
        <v>0.58333333333337123</v>
      </c>
      <c r="G29" s="4">
        <f t="shared" si="3"/>
        <v>176.08290391565913</v>
      </c>
      <c r="H29" s="4">
        <f t="shared" si="4"/>
        <v>-26.054000626175487</v>
      </c>
      <c r="I29" s="4"/>
      <c r="J29" s="4"/>
      <c r="K29" s="4">
        <f t="shared" si="5"/>
        <v>31.947507241137032</v>
      </c>
      <c r="L29" s="4">
        <f t="shared" si="6"/>
        <v>2.6516814086720792</v>
      </c>
      <c r="M29" s="4">
        <f t="shared" si="7"/>
        <v>1020.6432189225031</v>
      </c>
      <c r="N29" s="4">
        <f t="shared" si="8"/>
        <v>7.0314142930971428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260.3</v>
      </c>
      <c r="C30" s="25">
        <v>182</v>
      </c>
      <c r="D30" s="4">
        <f t="shared" si="0"/>
        <v>-9.6999999999999886</v>
      </c>
      <c r="E30" s="4">
        <f t="shared" si="1"/>
        <v>-10</v>
      </c>
      <c r="F30" s="4">
        <f t="shared" si="2"/>
        <v>0.50000000000001887</v>
      </c>
      <c r="G30" s="4">
        <f t="shared" si="3"/>
        <v>179.50397947977612</v>
      </c>
      <c r="H30" s="4">
        <f t="shared" si="4"/>
        <v>-30.038664266643266</v>
      </c>
      <c r="I30" s="4"/>
      <c r="J30" s="4"/>
      <c r="K30" s="4">
        <f t="shared" si="5"/>
        <v>35.368582805254022</v>
      </c>
      <c r="L30" s="4">
        <f t="shared" si="6"/>
        <v>-1.3329822317957003</v>
      </c>
      <c r="M30" s="4">
        <f t="shared" si="7"/>
        <v>1250.9366496521104</v>
      </c>
      <c r="N30" s="4">
        <f t="shared" si="8"/>
        <v>1.7768416302830461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252.5</v>
      </c>
      <c r="C31" s="25">
        <v>122</v>
      </c>
      <c r="D31" s="4">
        <f t="shared" si="0"/>
        <v>-17.5</v>
      </c>
      <c r="E31" s="4">
        <f t="shared" si="1"/>
        <v>-18</v>
      </c>
      <c r="F31" s="4">
        <f>IF(B31,((D31-E31)/60*100)," ")</f>
        <v>0.83333333333333337</v>
      </c>
      <c r="G31" s="4">
        <f t="shared" si="3"/>
        <v>116.56492884311825</v>
      </c>
      <c r="H31" s="4">
        <f t="shared" si="4"/>
        <v>-36.008573476309458</v>
      </c>
      <c r="I31" s="4"/>
      <c r="J31" s="4"/>
      <c r="K31" s="4">
        <f t="shared" si="5"/>
        <v>-27.570467831403846</v>
      </c>
      <c r="L31" s="4">
        <f t="shared" si="6"/>
        <v>-7.3028914414618917</v>
      </c>
      <c r="M31" s="4">
        <f t="shared" si="7"/>
        <v>760.13069644247435</v>
      </c>
      <c r="N31" s="4">
        <f t="shared" si="8"/>
        <v>53.332223405777349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250.5</v>
      </c>
      <c r="C32" s="25">
        <v>110</v>
      </c>
      <c r="D32" s="4">
        <f t="shared" si="0"/>
        <v>-19.5</v>
      </c>
      <c r="E32" s="4">
        <f t="shared" si="1"/>
        <v>-20</v>
      </c>
      <c r="F32" s="4">
        <f t="shared" si="2"/>
        <v>0.83333333333333337</v>
      </c>
      <c r="G32" s="4">
        <f t="shared" si="3"/>
        <v>103.90242909943652</v>
      </c>
      <c r="H32" s="4">
        <f>IF(B32,(C32*SIN(PI()/180*(E32+F32)))," ")</f>
        <v>-36.11488927349172</v>
      </c>
      <c r="I32" s="4"/>
      <c r="J32" s="4"/>
      <c r="K32" s="4">
        <f t="shared" si="5"/>
        <v>-40.232967575085581</v>
      </c>
      <c r="L32" s="4">
        <f t="shared" si="6"/>
        <v>-7.4092072386441536</v>
      </c>
      <c r="M32" s="4">
        <f t="shared" si="7"/>
        <v>1618.6916798978878</v>
      </c>
      <c r="N32" s="4">
        <f t="shared" si="8"/>
        <v>54.896351905176921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238.25</v>
      </c>
      <c r="C33" s="25">
        <v>92</v>
      </c>
      <c r="D33" s="4">
        <f t="shared" si="0"/>
        <v>-31.75</v>
      </c>
      <c r="E33" s="4">
        <f t="shared" si="1"/>
        <v>-32</v>
      </c>
      <c r="F33" s="4">
        <f t="shared" si="2"/>
        <v>0.41666666666666669</v>
      </c>
      <c r="G33" s="4">
        <f t="shared" si="3"/>
        <v>78.372897387340146</v>
      </c>
      <c r="H33" s="4">
        <f t="shared" si="4"/>
        <v>-48.18390763640339</v>
      </c>
      <c r="I33" s="4"/>
      <c r="J33" s="4"/>
      <c r="K33" s="4">
        <f t="shared" si="5"/>
        <v>-65.762499287181953</v>
      </c>
      <c r="L33" s="4">
        <f t="shared" si="6"/>
        <v>-19.478225601555824</v>
      </c>
      <c r="M33" s="4">
        <f t="shared" si="7"/>
        <v>4324.7063124966071</v>
      </c>
      <c r="N33" s="4">
        <f t="shared" si="8"/>
        <v>379.40127258510472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261.14999999999998</v>
      </c>
      <c r="C34" s="25">
        <v>198</v>
      </c>
      <c r="D34" s="4">
        <f t="shared" si="0"/>
        <v>-8.8500000000000227</v>
      </c>
      <c r="E34" s="4">
        <f t="shared" si="1"/>
        <v>-9</v>
      </c>
      <c r="F34" s="4">
        <f t="shared" si="2"/>
        <v>0.24999999999996211</v>
      </c>
      <c r="G34" s="4">
        <f t="shared" si="3"/>
        <v>195.69557907261662</v>
      </c>
      <c r="H34" s="4">
        <f t="shared" si="4"/>
        <v>-30.120430465603636</v>
      </c>
      <c r="I34" s="4"/>
      <c r="J34" s="4"/>
      <c r="K34" s="4">
        <f>IF(B34,SUM(G34,-$I$12)," ")</f>
        <v>51.560182398094526</v>
      </c>
      <c r="L34" s="4">
        <f t="shared" si="6"/>
        <v>-1.4147484307560703</v>
      </c>
      <c r="M34" s="4">
        <f t="shared" si="7"/>
        <v>2658.4524089247766</v>
      </c>
      <c r="N34" s="4">
        <f t="shared" si="8"/>
        <v>2.0015131223267635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/>
      <c r="C38" s="25"/>
      <c r="D38" s="4" t="str">
        <f t="shared" ref="D38:D61" si="9">IF(B38,B38-$C$4," ")</f>
        <v xml:space="preserve"> </v>
      </c>
      <c r="E38" s="4" t="str">
        <f t="shared" ref="E38:E61" si="10">IF(B38,INT(D38)," ")</f>
        <v xml:space="preserve"> </v>
      </c>
      <c r="F38" s="4" t="str">
        <f t="shared" ref="F38:F61" si="11">IF(B38,((D38-E38)/60*100)," ")</f>
        <v xml:space="preserve"> </v>
      </c>
      <c r="G38" s="4" t="str">
        <f t="shared" ref="G38:G61" si="12">IF(B38,C38*COS(PI()/180*(E38+F38))," ")</f>
        <v xml:space="preserve"> </v>
      </c>
      <c r="H38" s="4" t="str">
        <f t="shared" ref="H38:H61" si="13">IF(B38,(C38*SIN(PI()/180*(E38+F38)))," ")</f>
        <v xml:space="preserve"> </v>
      </c>
      <c r="I38" s="4" t="e">
        <f>SUM(G38:G61)/E6</f>
        <v>#DIV/0!</v>
      </c>
      <c r="J38" s="4" t="e">
        <f>SUM(H38:H61)/E6</f>
        <v>#DIV/0!</v>
      </c>
      <c r="K38" s="4" t="str">
        <f t="shared" ref="K38:K61" si="14">IF(B38,SUM(G38,-$I$12)," ")</f>
        <v xml:space="preserve"> </v>
      </c>
      <c r="L38" s="4" t="str">
        <f t="shared" ref="L38:L61" si="15">IF(B38,SUM(H38,-$J$12)," ")</f>
        <v xml:space="preserve"> </v>
      </c>
      <c r="M38" s="4" t="str">
        <f t="shared" ref="M38:M61" si="16">IF(B38,POWER(K38,2)," ")</f>
        <v xml:space="preserve"> </v>
      </c>
      <c r="N38" s="4" t="str">
        <f t="shared" ref="N38:N61" si="17">IF(B38,POWER(L38,2)," ")</f>
        <v xml:space="preserve"> </v>
      </c>
      <c r="O38" s="4">
        <f>E6-1</f>
        <v>-1</v>
      </c>
      <c r="P38" s="4">
        <f>SUM(M38:M61)</f>
        <v>0</v>
      </c>
      <c r="Q38" s="4">
        <f>SUM(N38:N61)</f>
        <v>0</v>
      </c>
      <c r="R38" s="4">
        <f>PRODUCT(P38,1/$O$38)</f>
        <v>0</v>
      </c>
      <c r="S38" s="4">
        <f>PRODUCT(Q38,1/$O$38)</f>
        <v>0</v>
      </c>
      <c r="T38" s="4">
        <f>SQRT(R38)</f>
        <v>0</v>
      </c>
      <c r="U38" s="4">
        <f>SQRT(S38)</f>
        <v>0</v>
      </c>
      <c r="V38" s="4">
        <f>PRODUCT(T38:U38)</f>
        <v>0</v>
      </c>
      <c r="W38" s="10">
        <f>SQRT(V38)</f>
        <v>0</v>
      </c>
    </row>
    <row r="39" spans="1:23">
      <c r="A39" s="3">
        <v>2</v>
      </c>
      <c r="B39" s="25"/>
      <c r="C39" s="25"/>
      <c r="D39" s="4" t="str">
        <f t="shared" si="9"/>
        <v xml:space="preserve"> </v>
      </c>
      <c r="E39" s="4" t="str">
        <f t="shared" si="10"/>
        <v xml:space="preserve"> </v>
      </c>
      <c r="F39" s="4" t="str">
        <f t="shared" si="11"/>
        <v xml:space="preserve"> </v>
      </c>
      <c r="G39" s="4" t="str">
        <f t="shared" si="12"/>
        <v xml:space="preserve"> </v>
      </c>
      <c r="H39" s="4" t="str">
        <f t="shared" si="13"/>
        <v xml:space="preserve"> </v>
      </c>
      <c r="I39" s="4"/>
      <c r="J39" s="4"/>
      <c r="K39" s="4" t="str">
        <f t="shared" si="14"/>
        <v xml:space="preserve"> </v>
      </c>
      <c r="L39" s="4" t="str">
        <f t="shared" si="15"/>
        <v xml:space="preserve"> </v>
      </c>
      <c r="M39" s="4" t="str">
        <f t="shared" si="16"/>
        <v xml:space="preserve"> </v>
      </c>
      <c r="N39" s="4" t="str">
        <f t="shared" si="17"/>
        <v xml:space="preserve"> 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/>
      <c r="C40" s="25"/>
      <c r="D40" s="4" t="str">
        <f t="shared" si="9"/>
        <v xml:space="preserve"> </v>
      </c>
      <c r="E40" s="4" t="str">
        <f t="shared" si="10"/>
        <v xml:space="preserve"> </v>
      </c>
      <c r="F40" s="4" t="str">
        <f t="shared" si="11"/>
        <v xml:space="preserve"> </v>
      </c>
      <c r="G40" s="4" t="str">
        <f t="shared" si="12"/>
        <v xml:space="preserve"> </v>
      </c>
      <c r="H40" s="4" t="str">
        <f t="shared" si="13"/>
        <v xml:space="preserve"> </v>
      </c>
      <c r="I40" s="4"/>
      <c r="J40" s="4"/>
      <c r="K40" s="4" t="str">
        <f t="shared" si="14"/>
        <v xml:space="preserve"> </v>
      </c>
      <c r="L40" s="4" t="str">
        <f t="shared" si="15"/>
        <v xml:space="preserve"> </v>
      </c>
      <c r="M40" s="4" t="str">
        <f t="shared" si="16"/>
        <v xml:space="preserve"> </v>
      </c>
      <c r="N40" s="4" t="str">
        <f t="shared" si="17"/>
        <v xml:space="preserve"> 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/>
      <c r="C41" s="25"/>
      <c r="D41" s="4" t="str">
        <f t="shared" si="9"/>
        <v xml:space="preserve"> </v>
      </c>
      <c r="E41" s="4" t="str">
        <f t="shared" si="10"/>
        <v xml:space="preserve"> </v>
      </c>
      <c r="F41" s="4" t="str">
        <f t="shared" si="11"/>
        <v xml:space="preserve"> </v>
      </c>
      <c r="G41" s="4" t="str">
        <f t="shared" si="12"/>
        <v xml:space="preserve"> </v>
      </c>
      <c r="H41" s="4" t="str">
        <f t="shared" si="13"/>
        <v xml:space="preserve"> </v>
      </c>
      <c r="I41" s="4"/>
      <c r="J41" s="4"/>
      <c r="K41" s="4" t="str">
        <f t="shared" si="14"/>
        <v xml:space="preserve"> </v>
      </c>
      <c r="L41" s="4" t="str">
        <f t="shared" si="15"/>
        <v xml:space="preserve"> </v>
      </c>
      <c r="M41" s="4" t="str">
        <f t="shared" si="16"/>
        <v xml:space="preserve"> </v>
      </c>
      <c r="N41" s="4" t="str">
        <f t="shared" si="17"/>
        <v xml:space="preserve"> 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/>
      <c r="C42" s="25"/>
      <c r="D42" s="4" t="str">
        <f t="shared" si="9"/>
        <v xml:space="preserve"> </v>
      </c>
      <c r="E42" s="4" t="str">
        <f t="shared" si="10"/>
        <v xml:space="preserve"> </v>
      </c>
      <c r="F42" s="4" t="str">
        <f t="shared" si="11"/>
        <v xml:space="preserve"> </v>
      </c>
      <c r="G42" s="4" t="str">
        <f t="shared" si="12"/>
        <v xml:space="preserve"> </v>
      </c>
      <c r="H42" s="4" t="str">
        <f t="shared" si="13"/>
        <v xml:space="preserve"> </v>
      </c>
      <c r="I42" s="4"/>
      <c r="J42" s="4"/>
      <c r="K42" s="4" t="str">
        <f t="shared" si="14"/>
        <v xml:space="preserve"> </v>
      </c>
      <c r="L42" s="4" t="str">
        <f t="shared" si="15"/>
        <v xml:space="preserve"> </v>
      </c>
      <c r="M42" s="4" t="str">
        <f t="shared" si="16"/>
        <v xml:space="preserve"> </v>
      </c>
      <c r="N42" s="4" t="str">
        <f t="shared" si="17"/>
        <v xml:space="preserve"> 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/>
      <c r="C43" s="25"/>
      <c r="D43" s="4" t="str">
        <f t="shared" si="9"/>
        <v xml:space="preserve"> </v>
      </c>
      <c r="E43" s="4" t="str">
        <f t="shared" si="10"/>
        <v xml:space="preserve"> </v>
      </c>
      <c r="F43" s="4" t="str">
        <f t="shared" si="11"/>
        <v xml:space="preserve"> </v>
      </c>
      <c r="G43" s="4" t="str">
        <f t="shared" si="12"/>
        <v xml:space="preserve"> </v>
      </c>
      <c r="H43" s="4" t="str">
        <f t="shared" si="13"/>
        <v xml:space="preserve"> </v>
      </c>
      <c r="I43" s="4"/>
      <c r="J43" s="4"/>
      <c r="K43" s="4" t="str">
        <f t="shared" si="14"/>
        <v xml:space="preserve"> </v>
      </c>
      <c r="L43" s="4" t="str">
        <f t="shared" si="15"/>
        <v xml:space="preserve"> </v>
      </c>
      <c r="M43" s="4" t="str">
        <f t="shared" si="16"/>
        <v xml:space="preserve"> </v>
      </c>
      <c r="N43" s="4" t="str">
        <f t="shared" si="17"/>
        <v xml:space="preserve"> 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/>
      <c r="C44" s="25"/>
      <c r="D44" s="4" t="str">
        <f t="shared" si="9"/>
        <v xml:space="preserve"> </v>
      </c>
      <c r="E44" s="4" t="str">
        <f t="shared" si="10"/>
        <v xml:space="preserve"> </v>
      </c>
      <c r="F44" s="4" t="str">
        <f t="shared" si="11"/>
        <v xml:space="preserve"> </v>
      </c>
      <c r="G44" s="4" t="str">
        <f t="shared" si="12"/>
        <v xml:space="preserve"> </v>
      </c>
      <c r="H44" s="4" t="str">
        <f t="shared" si="13"/>
        <v xml:space="preserve"> </v>
      </c>
      <c r="I44" s="4"/>
      <c r="J44" s="4"/>
      <c r="K44" s="4" t="str">
        <f t="shared" si="14"/>
        <v xml:space="preserve"> </v>
      </c>
      <c r="L44" s="4" t="str">
        <f t="shared" si="15"/>
        <v xml:space="preserve"> </v>
      </c>
      <c r="M44" s="4" t="str">
        <f t="shared" si="16"/>
        <v xml:space="preserve"> </v>
      </c>
      <c r="N44" s="4" t="str">
        <f t="shared" si="17"/>
        <v xml:space="preserve"> 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/>
      <c r="C45" s="25"/>
      <c r="D45" s="4" t="str">
        <f t="shared" si="9"/>
        <v xml:space="preserve"> </v>
      </c>
      <c r="E45" s="4" t="str">
        <f t="shared" si="10"/>
        <v xml:space="preserve"> </v>
      </c>
      <c r="F45" s="4" t="str">
        <f t="shared" si="11"/>
        <v xml:space="preserve"> </v>
      </c>
      <c r="G45" s="4" t="str">
        <f t="shared" si="12"/>
        <v xml:space="preserve"> </v>
      </c>
      <c r="H45" s="4" t="str">
        <f t="shared" si="13"/>
        <v xml:space="preserve"> </v>
      </c>
      <c r="I45" s="4"/>
      <c r="J45" s="4"/>
      <c r="K45" s="4" t="str">
        <f t="shared" si="14"/>
        <v xml:space="preserve"> </v>
      </c>
      <c r="L45" s="4" t="str">
        <f t="shared" si="15"/>
        <v xml:space="preserve"> </v>
      </c>
      <c r="M45" s="4" t="str">
        <f t="shared" si="16"/>
        <v xml:space="preserve"> </v>
      </c>
      <c r="N45" s="4" t="str">
        <f t="shared" si="17"/>
        <v xml:space="preserve"> 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/>
      <c r="C46" s="25"/>
      <c r="D46" s="4" t="str">
        <f t="shared" si="9"/>
        <v xml:space="preserve"> </v>
      </c>
      <c r="E46" s="4" t="str">
        <f t="shared" si="10"/>
        <v xml:space="preserve"> </v>
      </c>
      <c r="F46" s="4" t="str">
        <f t="shared" si="11"/>
        <v xml:space="preserve"> </v>
      </c>
      <c r="G46" s="4" t="str">
        <f t="shared" si="12"/>
        <v xml:space="preserve"> </v>
      </c>
      <c r="H46" s="4" t="str">
        <f t="shared" si="13"/>
        <v xml:space="preserve"> </v>
      </c>
      <c r="I46" s="4"/>
      <c r="J46" s="4"/>
      <c r="K46" s="4" t="str">
        <f t="shared" si="14"/>
        <v xml:space="preserve"> </v>
      </c>
      <c r="L46" s="4" t="str">
        <f t="shared" si="15"/>
        <v xml:space="preserve"> </v>
      </c>
      <c r="M46" s="4" t="str">
        <f t="shared" si="16"/>
        <v xml:space="preserve"> </v>
      </c>
      <c r="N46" s="4" t="str">
        <f t="shared" si="17"/>
        <v xml:space="preserve"> 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/>
      <c r="C47" s="25"/>
      <c r="D47" s="4" t="str">
        <f t="shared" si="9"/>
        <v xml:space="preserve"> </v>
      </c>
      <c r="E47" s="4" t="str">
        <f t="shared" si="10"/>
        <v xml:space="preserve"> </v>
      </c>
      <c r="F47" s="4" t="str">
        <f t="shared" si="11"/>
        <v xml:space="preserve"> </v>
      </c>
      <c r="G47" s="4" t="str">
        <f t="shared" si="12"/>
        <v xml:space="preserve"> </v>
      </c>
      <c r="H47" s="4" t="str">
        <f t="shared" si="13"/>
        <v xml:space="preserve"> </v>
      </c>
      <c r="I47" s="4"/>
      <c r="J47" s="4"/>
      <c r="K47" s="4" t="str">
        <f t="shared" si="14"/>
        <v xml:space="preserve"> </v>
      </c>
      <c r="L47" s="4" t="str">
        <f t="shared" si="15"/>
        <v xml:space="preserve"> </v>
      </c>
      <c r="M47" s="4" t="str">
        <f t="shared" si="16"/>
        <v xml:space="preserve"> </v>
      </c>
      <c r="N47" s="4" t="str">
        <f t="shared" si="17"/>
        <v xml:space="preserve"> 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/>
      <c r="C48" s="25"/>
      <c r="D48" s="4" t="str">
        <f t="shared" si="9"/>
        <v xml:space="preserve"> </v>
      </c>
      <c r="E48" s="4" t="str">
        <f t="shared" si="10"/>
        <v xml:space="preserve"> </v>
      </c>
      <c r="F48" s="4" t="str">
        <f t="shared" si="11"/>
        <v xml:space="preserve"> </v>
      </c>
      <c r="G48" s="4" t="str">
        <f t="shared" si="12"/>
        <v xml:space="preserve"> </v>
      </c>
      <c r="H48" s="4" t="str">
        <f t="shared" si="13"/>
        <v xml:space="preserve"> </v>
      </c>
      <c r="I48" s="4"/>
      <c r="J48" s="4"/>
      <c r="K48" s="4" t="str">
        <f t="shared" si="14"/>
        <v xml:space="preserve"> </v>
      </c>
      <c r="L48" s="4" t="str">
        <f t="shared" si="15"/>
        <v xml:space="preserve"> </v>
      </c>
      <c r="M48" s="4" t="str">
        <f t="shared" si="16"/>
        <v xml:space="preserve"> </v>
      </c>
      <c r="N48" s="4" t="str">
        <f t="shared" si="17"/>
        <v xml:space="preserve"> 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/>
      <c r="C49" s="25"/>
      <c r="D49" s="4" t="str">
        <f t="shared" si="9"/>
        <v xml:space="preserve"> </v>
      </c>
      <c r="E49" s="4" t="str">
        <f t="shared" si="10"/>
        <v xml:space="preserve"> </v>
      </c>
      <c r="F49" s="4" t="str">
        <f t="shared" si="11"/>
        <v xml:space="preserve"> </v>
      </c>
      <c r="G49" s="4" t="str">
        <f t="shared" si="12"/>
        <v xml:space="preserve"> </v>
      </c>
      <c r="H49" s="4" t="str">
        <f t="shared" si="13"/>
        <v xml:space="preserve"> </v>
      </c>
      <c r="I49" s="4"/>
      <c r="J49" s="4"/>
      <c r="K49" s="4" t="str">
        <f t="shared" si="14"/>
        <v xml:space="preserve"> </v>
      </c>
      <c r="L49" s="4" t="str">
        <f t="shared" si="15"/>
        <v xml:space="preserve"> </v>
      </c>
      <c r="M49" s="4" t="str">
        <f t="shared" si="16"/>
        <v xml:space="preserve"> </v>
      </c>
      <c r="N49" s="4" t="str">
        <f t="shared" si="17"/>
        <v xml:space="preserve"> 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/>
      <c r="C50" s="25"/>
      <c r="D50" s="4" t="str">
        <f t="shared" si="9"/>
        <v xml:space="preserve"> </v>
      </c>
      <c r="E50" s="4" t="str">
        <f t="shared" si="10"/>
        <v xml:space="preserve"> </v>
      </c>
      <c r="F50" s="4" t="str">
        <f t="shared" si="11"/>
        <v xml:space="preserve"> </v>
      </c>
      <c r="G50" s="4" t="str">
        <f t="shared" si="12"/>
        <v xml:space="preserve"> </v>
      </c>
      <c r="H50" s="4" t="str">
        <f t="shared" si="13"/>
        <v xml:space="preserve"> </v>
      </c>
      <c r="I50" s="4"/>
      <c r="J50" s="4"/>
      <c r="K50" s="4" t="str">
        <f t="shared" si="14"/>
        <v xml:space="preserve"> </v>
      </c>
      <c r="L50" s="4" t="str">
        <f t="shared" si="15"/>
        <v xml:space="preserve"> </v>
      </c>
      <c r="M50" s="4" t="str">
        <f t="shared" si="16"/>
        <v xml:space="preserve"> </v>
      </c>
      <c r="N50" s="4" t="str">
        <f t="shared" si="17"/>
        <v xml:space="preserve"> 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/>
      <c r="C51" s="25"/>
      <c r="D51" s="4" t="str">
        <f t="shared" si="9"/>
        <v xml:space="preserve"> </v>
      </c>
      <c r="E51" s="4" t="str">
        <f t="shared" si="10"/>
        <v xml:space="preserve"> </v>
      </c>
      <c r="F51" s="4" t="str">
        <f t="shared" si="11"/>
        <v xml:space="preserve"> </v>
      </c>
      <c r="G51" s="4" t="str">
        <f t="shared" si="12"/>
        <v xml:space="preserve"> </v>
      </c>
      <c r="H51" s="4" t="str">
        <f t="shared" si="13"/>
        <v xml:space="preserve"> </v>
      </c>
      <c r="I51" s="4"/>
      <c r="J51" s="4"/>
      <c r="K51" s="4" t="str">
        <f t="shared" si="14"/>
        <v xml:space="preserve"> </v>
      </c>
      <c r="L51" s="4" t="str">
        <f t="shared" si="15"/>
        <v xml:space="preserve"> </v>
      </c>
      <c r="M51" s="4" t="str">
        <f t="shared" si="16"/>
        <v xml:space="preserve"> </v>
      </c>
      <c r="N51" s="4" t="str">
        <f t="shared" si="17"/>
        <v xml:space="preserve"> 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/>
      <c r="C52" s="25"/>
      <c r="D52" s="4" t="str">
        <f t="shared" si="9"/>
        <v xml:space="preserve"> </v>
      </c>
      <c r="E52" s="4" t="str">
        <f t="shared" si="10"/>
        <v xml:space="preserve"> </v>
      </c>
      <c r="F52" s="4" t="str">
        <f t="shared" si="11"/>
        <v xml:space="preserve"> </v>
      </c>
      <c r="G52" s="4" t="str">
        <f t="shared" si="12"/>
        <v xml:space="preserve"> </v>
      </c>
      <c r="H52" s="4" t="str">
        <f t="shared" si="13"/>
        <v xml:space="preserve"> </v>
      </c>
      <c r="I52" s="4"/>
      <c r="J52" s="4"/>
      <c r="K52" s="4" t="str">
        <f t="shared" si="14"/>
        <v xml:space="preserve"> </v>
      </c>
      <c r="L52" s="4" t="str">
        <f t="shared" si="15"/>
        <v xml:space="preserve"> </v>
      </c>
      <c r="M52" s="4" t="str">
        <f t="shared" si="16"/>
        <v xml:space="preserve"> </v>
      </c>
      <c r="N52" s="4" t="str">
        <f t="shared" si="17"/>
        <v xml:space="preserve"> 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/>
      <c r="C53" s="25"/>
      <c r="D53" s="4" t="str">
        <f t="shared" si="9"/>
        <v xml:space="preserve"> </v>
      </c>
      <c r="E53" s="4" t="str">
        <f t="shared" si="10"/>
        <v xml:space="preserve"> </v>
      </c>
      <c r="F53" s="4" t="str">
        <f t="shared" si="11"/>
        <v xml:space="preserve"> </v>
      </c>
      <c r="G53" s="4" t="str">
        <f t="shared" si="12"/>
        <v xml:space="preserve"> </v>
      </c>
      <c r="H53" s="4" t="str">
        <f t="shared" si="13"/>
        <v xml:space="preserve"> </v>
      </c>
      <c r="I53" s="4"/>
      <c r="J53" s="4"/>
      <c r="K53" s="4" t="str">
        <f t="shared" si="14"/>
        <v xml:space="preserve"> </v>
      </c>
      <c r="L53" s="4" t="str">
        <f t="shared" si="15"/>
        <v xml:space="preserve"> </v>
      </c>
      <c r="M53" s="4" t="str">
        <f t="shared" si="16"/>
        <v xml:space="preserve"> </v>
      </c>
      <c r="N53" s="4" t="str">
        <f t="shared" si="17"/>
        <v xml:space="preserve"> 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/>
      <c r="C54" s="25"/>
      <c r="D54" s="4" t="str">
        <f t="shared" si="9"/>
        <v xml:space="preserve"> </v>
      </c>
      <c r="E54" s="4" t="str">
        <f t="shared" si="10"/>
        <v xml:space="preserve"> </v>
      </c>
      <c r="F54" s="4" t="str">
        <f t="shared" si="11"/>
        <v xml:space="preserve"> </v>
      </c>
      <c r="G54" s="4" t="str">
        <f t="shared" si="12"/>
        <v xml:space="preserve"> </v>
      </c>
      <c r="H54" s="4" t="str">
        <f t="shared" si="13"/>
        <v xml:space="preserve"> </v>
      </c>
      <c r="I54" s="4"/>
      <c r="J54" s="4"/>
      <c r="K54" s="4" t="str">
        <f t="shared" si="14"/>
        <v xml:space="preserve"> </v>
      </c>
      <c r="L54" s="4" t="str">
        <f t="shared" si="15"/>
        <v xml:space="preserve"> </v>
      </c>
      <c r="M54" s="4" t="str">
        <f t="shared" si="16"/>
        <v xml:space="preserve"> </v>
      </c>
      <c r="N54" s="4" t="str">
        <f t="shared" si="17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/>
      <c r="C55" s="25"/>
      <c r="D55" s="4" t="str">
        <f t="shared" si="9"/>
        <v xml:space="preserve"> </v>
      </c>
      <c r="E55" s="4" t="str">
        <f t="shared" si="10"/>
        <v xml:space="preserve"> </v>
      </c>
      <c r="F55" s="4" t="str">
        <f t="shared" si="11"/>
        <v xml:space="preserve"> </v>
      </c>
      <c r="G55" s="4" t="str">
        <f t="shared" si="12"/>
        <v xml:space="preserve"> </v>
      </c>
      <c r="H55" s="4" t="str">
        <f t="shared" si="13"/>
        <v xml:space="preserve"> </v>
      </c>
      <c r="I55" s="4"/>
      <c r="J55" s="4"/>
      <c r="K55" s="4" t="str">
        <f t="shared" si="14"/>
        <v xml:space="preserve"> </v>
      </c>
      <c r="L55" s="4" t="str">
        <f t="shared" si="15"/>
        <v xml:space="preserve"> </v>
      </c>
      <c r="M55" s="4" t="str">
        <f t="shared" si="16"/>
        <v xml:space="preserve"> </v>
      </c>
      <c r="N55" s="4" t="str">
        <f t="shared" si="17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/>
      <c r="C56" s="25"/>
      <c r="D56" s="4" t="str">
        <f t="shared" si="9"/>
        <v xml:space="preserve"> </v>
      </c>
      <c r="E56" s="4" t="str">
        <f t="shared" si="10"/>
        <v xml:space="preserve"> </v>
      </c>
      <c r="F56" s="4" t="str">
        <f t="shared" si="11"/>
        <v xml:space="preserve"> </v>
      </c>
      <c r="G56" s="4" t="str">
        <f t="shared" si="12"/>
        <v xml:space="preserve"> </v>
      </c>
      <c r="H56" s="4" t="str">
        <f t="shared" si="13"/>
        <v xml:space="preserve"> </v>
      </c>
      <c r="I56" s="4"/>
      <c r="J56" s="4"/>
      <c r="K56" s="4" t="str">
        <f t="shared" si="14"/>
        <v xml:space="preserve"> </v>
      </c>
      <c r="L56" s="4" t="str">
        <f t="shared" si="15"/>
        <v xml:space="preserve"> </v>
      </c>
      <c r="M56" s="4" t="str">
        <f t="shared" si="16"/>
        <v xml:space="preserve"> </v>
      </c>
      <c r="N56" s="4" t="str">
        <f t="shared" si="17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/>
      <c r="C57" s="25"/>
      <c r="D57" s="4" t="str">
        <f t="shared" si="9"/>
        <v xml:space="preserve"> </v>
      </c>
      <c r="E57" s="4" t="str">
        <f t="shared" si="10"/>
        <v xml:space="preserve"> </v>
      </c>
      <c r="F57" s="4" t="str">
        <f t="shared" si="11"/>
        <v xml:space="preserve"> </v>
      </c>
      <c r="G57" s="4" t="str">
        <f t="shared" si="12"/>
        <v xml:space="preserve"> </v>
      </c>
      <c r="H57" s="4" t="str">
        <f t="shared" si="13"/>
        <v xml:space="preserve"> </v>
      </c>
      <c r="I57" s="4"/>
      <c r="J57" s="4"/>
      <c r="K57" s="4" t="str">
        <f t="shared" si="14"/>
        <v xml:space="preserve"> </v>
      </c>
      <c r="L57" s="4" t="str">
        <f t="shared" si="15"/>
        <v xml:space="preserve"> </v>
      </c>
      <c r="M57" s="4" t="str">
        <f t="shared" si="16"/>
        <v xml:space="preserve"> </v>
      </c>
      <c r="N57" s="4" t="str">
        <f t="shared" si="17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/>
      <c r="C58" s="25"/>
      <c r="D58" s="4" t="str">
        <f t="shared" si="9"/>
        <v xml:space="preserve"> </v>
      </c>
      <c r="E58" s="4" t="str">
        <f t="shared" si="10"/>
        <v xml:space="preserve"> </v>
      </c>
      <c r="F58" s="4" t="str">
        <f t="shared" si="11"/>
        <v xml:space="preserve"> </v>
      </c>
      <c r="G58" s="4" t="str">
        <f t="shared" si="12"/>
        <v xml:space="preserve"> </v>
      </c>
      <c r="H58" s="4" t="str">
        <f t="shared" si="13"/>
        <v xml:space="preserve"> </v>
      </c>
      <c r="I58" s="4"/>
      <c r="J58" s="4"/>
      <c r="K58" s="4" t="str">
        <f t="shared" si="14"/>
        <v xml:space="preserve"> </v>
      </c>
      <c r="L58" s="4" t="str">
        <f t="shared" si="15"/>
        <v xml:space="preserve"> </v>
      </c>
      <c r="M58" s="4" t="str">
        <f t="shared" si="16"/>
        <v xml:space="preserve"> </v>
      </c>
      <c r="N58" s="4" t="str">
        <f t="shared" si="17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/>
      <c r="C59" s="25"/>
      <c r="D59" s="4" t="str">
        <f t="shared" si="9"/>
        <v xml:space="preserve"> </v>
      </c>
      <c r="E59" s="4" t="str">
        <f t="shared" si="10"/>
        <v xml:space="preserve"> </v>
      </c>
      <c r="F59" s="4" t="str">
        <f t="shared" si="11"/>
        <v xml:space="preserve"> </v>
      </c>
      <c r="G59" s="4" t="str">
        <f t="shared" si="12"/>
        <v xml:space="preserve"> </v>
      </c>
      <c r="H59" s="4" t="str">
        <f t="shared" si="13"/>
        <v xml:space="preserve"> </v>
      </c>
      <c r="I59" s="4"/>
      <c r="J59" s="4"/>
      <c r="K59" s="4" t="str">
        <f t="shared" si="14"/>
        <v xml:space="preserve"> </v>
      </c>
      <c r="L59" s="4" t="str">
        <f t="shared" si="15"/>
        <v xml:space="preserve"> </v>
      </c>
      <c r="M59" s="4" t="str">
        <f t="shared" si="16"/>
        <v xml:space="preserve"> </v>
      </c>
      <c r="N59" s="4" t="str">
        <f t="shared" si="17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9"/>
        <v xml:space="preserve"> </v>
      </c>
      <c r="E60" s="4" t="str">
        <f t="shared" si="10"/>
        <v xml:space="preserve"> </v>
      </c>
      <c r="F60" s="4" t="str">
        <f t="shared" si="11"/>
        <v xml:space="preserve"> </v>
      </c>
      <c r="G60" s="4" t="str">
        <f t="shared" si="12"/>
        <v xml:space="preserve"> </v>
      </c>
      <c r="H60" s="4" t="str">
        <f t="shared" si="13"/>
        <v xml:space="preserve"> </v>
      </c>
      <c r="I60" s="4"/>
      <c r="J60" s="4"/>
      <c r="K60" s="4" t="str">
        <f t="shared" si="14"/>
        <v xml:space="preserve"> </v>
      </c>
      <c r="L60" s="4" t="str">
        <f t="shared" si="15"/>
        <v xml:space="preserve"> </v>
      </c>
      <c r="M60" s="4" t="str">
        <f t="shared" si="16"/>
        <v xml:space="preserve"> </v>
      </c>
      <c r="N60" s="4" t="str">
        <f t="shared" si="17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9"/>
        <v xml:space="preserve"> </v>
      </c>
      <c r="E61" s="7" t="str">
        <f t="shared" si="10"/>
        <v xml:space="preserve"> </v>
      </c>
      <c r="F61" s="7" t="str">
        <f t="shared" si="11"/>
        <v xml:space="preserve"> </v>
      </c>
      <c r="G61" s="7" t="str">
        <f t="shared" si="12"/>
        <v xml:space="preserve"> </v>
      </c>
      <c r="H61" s="7" t="str">
        <f t="shared" si="13"/>
        <v xml:space="preserve"> </v>
      </c>
      <c r="I61" s="7"/>
      <c r="J61" s="7"/>
      <c r="K61" s="7" t="str">
        <f t="shared" si="14"/>
        <v xml:space="preserve"> </v>
      </c>
      <c r="L61" s="7" t="str">
        <f t="shared" si="15"/>
        <v xml:space="preserve"> </v>
      </c>
      <c r="M61" s="7" t="str">
        <f t="shared" si="16"/>
        <v xml:space="preserve"> </v>
      </c>
      <c r="N61" s="7" t="str">
        <f t="shared" si="1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0"/>
  </sheetPr>
  <dimension ref="A1:W62"/>
  <sheetViews>
    <sheetView topLeftCell="A13" zoomScale="40" zoomScaleNormal="40" workbookViewId="0">
      <selection activeCell="T60" sqref="T60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9"/>
      <c r="H2" s="29"/>
      <c r="I2" s="107" t="s">
        <v>23</v>
      </c>
      <c r="J2" s="108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156.44359259364825</v>
      </c>
      <c r="J4" s="17">
        <f>(J12+J38)/2</f>
        <v>-54.62697024968147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44</v>
      </c>
      <c r="D6" s="22">
        <v>21</v>
      </c>
      <c r="E6" s="22">
        <v>23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274.39999999999998</v>
      </c>
      <c r="C12" s="25">
        <v>138</v>
      </c>
      <c r="D12" s="4">
        <f>IF(B12,B12-$C$4," ")</f>
        <v>4.3999999999999773</v>
      </c>
      <c r="E12" s="4">
        <f>IF(B12,INT(D12)," ")</f>
        <v>4</v>
      </c>
      <c r="F12" s="4">
        <f>IF(B12,((D12-E12)/60*100)," ")</f>
        <v>0.66666666666662877</v>
      </c>
      <c r="G12" s="4">
        <f>IF(B12,C12*COS(PI()/180*(E12+F12))," ")</f>
        <v>137.54251455014185</v>
      </c>
      <c r="H12" s="4">
        <f>IF(B12,(C12*SIN(PI()/180*(E12+F12)))," ")</f>
        <v>11.227497104164351</v>
      </c>
      <c r="I12" s="4">
        <f>SUM(G12:G32)/D6</f>
        <v>187.28076373671342</v>
      </c>
      <c r="J12" s="4">
        <f>SUM(H12:H32)/D6</f>
        <v>3.7737729980310126</v>
      </c>
      <c r="K12" s="4">
        <f>IF(B12,SUM(G12,-$I$12)," ")</f>
        <v>-49.738249186571579</v>
      </c>
      <c r="L12" s="4">
        <f>IF(B12,SUM(H12,-$J$12)," ")</f>
        <v>7.4537241061333388</v>
      </c>
      <c r="M12" s="4">
        <f>IF(B12,POWER(K12,2)," ")</f>
        <v>2473.8934321454885</v>
      </c>
      <c r="N12" s="4">
        <f>IF(B12,POWER(L12,2)," ")</f>
        <v>55.558003050353243</v>
      </c>
      <c r="O12" s="4">
        <f>D6-1</f>
        <v>20</v>
      </c>
      <c r="P12" s="4">
        <f>SUM(M12:M35)</f>
        <v>22707.826973033429</v>
      </c>
      <c r="Q12" s="4">
        <f>SUM(N12:N35)</f>
        <v>1641.330629572441</v>
      </c>
      <c r="R12" s="4">
        <f>PRODUCT(P12,1/$O$12)</f>
        <v>1135.3913486516715</v>
      </c>
      <c r="S12" s="4">
        <f>PRODUCT(Q12,1/$O$12)</f>
        <v>82.066531478622053</v>
      </c>
      <c r="T12" s="4">
        <f>SQRT(R12)</f>
        <v>33.695568679748845</v>
      </c>
      <c r="U12" s="4">
        <f>SQRT(S12)</f>
        <v>9.0590579796478874</v>
      </c>
      <c r="V12" s="4">
        <f>PRODUCT(T12:U12)</f>
        <v>305.2501103270522</v>
      </c>
      <c r="W12" s="10">
        <f>SQRT(V12)</f>
        <v>17.471408367016444</v>
      </c>
    </row>
    <row r="13" spans="1:23">
      <c r="A13" s="3">
        <v>2</v>
      </c>
      <c r="B13" s="25">
        <v>272.5</v>
      </c>
      <c r="C13" s="25">
        <v>140</v>
      </c>
      <c r="D13" s="4">
        <f t="shared" ref="D13:D35" si="0">IF(B13,B13-$C$4," ")</f>
        <v>2.5</v>
      </c>
      <c r="E13" s="4">
        <f t="shared" ref="E13:E35" si="1">IF(B13,INT(D13)," ")</f>
        <v>2</v>
      </c>
      <c r="F13" s="4">
        <f t="shared" ref="F13:F35" si="2">IF(B13,((D13-E13)/60*100)," ")</f>
        <v>0.83333333333333337</v>
      </c>
      <c r="G13" s="4">
        <f t="shared" ref="G13:G35" si="3">IF(B13,C13*COS(PI()/180*(E13+F13))," ")</f>
        <v>139.82885681367716</v>
      </c>
      <c r="H13" s="4">
        <f t="shared" ref="H13:H35" si="4">IF(B13,(C13*SIN(PI()/180*(E13+F13)))," ")</f>
        <v>6.9203180692920547</v>
      </c>
      <c r="I13" s="4"/>
      <c r="J13" s="4"/>
      <c r="K13" s="4">
        <f t="shared" ref="K13:K35" si="5">IF(B13,SUM(G13,-$I$12)," ")</f>
        <v>-47.451906923036262</v>
      </c>
      <c r="L13" s="4">
        <f t="shared" ref="L13:L35" si="6">IF(B13,SUM(H13,-$J$12)," ")</f>
        <v>3.1465450712610421</v>
      </c>
      <c r="M13" s="4">
        <f t="shared" ref="M13:M35" si="7">IF(B13,POWER(K13,2)," ")</f>
        <v>2251.6834706324967</v>
      </c>
      <c r="N13" s="4">
        <f t="shared" ref="N13:N34" si="8">IF(B13,POWER(L13,2)," ")</f>
        <v>9.9007458854771571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271.10000000000002</v>
      </c>
      <c r="C14" s="25">
        <v>140</v>
      </c>
      <c r="D14" s="4">
        <f t="shared" si="0"/>
        <v>1.1000000000000227</v>
      </c>
      <c r="E14" s="4">
        <f t="shared" si="1"/>
        <v>1</v>
      </c>
      <c r="F14" s="4">
        <f t="shared" si="2"/>
        <v>0.16666666666670457</v>
      </c>
      <c r="G14" s="4">
        <f t="shared" si="3"/>
        <v>139.97097773195438</v>
      </c>
      <c r="H14" s="4">
        <f t="shared" si="4"/>
        <v>2.85050745670519</v>
      </c>
      <c r="I14" s="4"/>
      <c r="J14" s="4"/>
      <c r="K14" s="4">
        <f t="shared" si="5"/>
        <v>-47.309786004759047</v>
      </c>
      <c r="L14" s="4">
        <f t="shared" si="6"/>
        <v>-0.92326554132582261</v>
      </c>
      <c r="M14" s="4">
        <f t="shared" si="7"/>
        <v>2238.215851816095</v>
      </c>
      <c r="N14" s="4">
        <f t="shared" si="8"/>
        <v>0.85241925979966426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270.05</v>
      </c>
      <c r="C15" s="25">
        <v>146</v>
      </c>
      <c r="D15" s="4">
        <f t="shared" si="0"/>
        <v>5.0000000000011369E-2</v>
      </c>
      <c r="E15" s="4">
        <f t="shared" si="1"/>
        <v>0</v>
      </c>
      <c r="F15" s="4">
        <f t="shared" si="2"/>
        <v>8.3333333333352286E-2</v>
      </c>
      <c r="G15" s="4">
        <f t="shared" si="3"/>
        <v>145.99984557591858</v>
      </c>
      <c r="H15" s="4">
        <f t="shared" si="4"/>
        <v>0.2123483174591124</v>
      </c>
      <c r="I15" s="4"/>
      <c r="J15" s="4"/>
      <c r="K15" s="4">
        <f t="shared" si="5"/>
        <v>-41.28091816079484</v>
      </c>
      <c r="L15" s="4">
        <f t="shared" si="6"/>
        <v>-3.5614246805719003</v>
      </c>
      <c r="M15" s="4">
        <f t="shared" si="7"/>
        <v>1704.1142041982412</v>
      </c>
      <c r="N15" s="4">
        <f t="shared" si="8"/>
        <v>12.683745755386662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269.5</v>
      </c>
      <c r="C16" s="25">
        <v>150</v>
      </c>
      <c r="D16" s="4">
        <f t="shared" si="0"/>
        <v>-0.5</v>
      </c>
      <c r="E16" s="4">
        <f t="shared" si="1"/>
        <v>-1</v>
      </c>
      <c r="F16" s="4">
        <f t="shared" si="2"/>
        <v>0.83333333333333337</v>
      </c>
      <c r="G16" s="4">
        <f t="shared" si="3"/>
        <v>149.99936538082295</v>
      </c>
      <c r="H16" s="4">
        <f t="shared" si="4"/>
        <v>-0.43633169765429008</v>
      </c>
      <c r="I16" s="4"/>
      <c r="J16" s="4"/>
      <c r="K16" s="4">
        <f t="shared" si="5"/>
        <v>-37.281398355890474</v>
      </c>
      <c r="L16" s="4">
        <f t="shared" si="6"/>
        <v>-4.2101046956853025</v>
      </c>
      <c r="M16" s="4">
        <f t="shared" si="7"/>
        <v>1389.902663370593</v>
      </c>
      <c r="N16" s="4">
        <f t="shared" si="8"/>
        <v>17.724981548631433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274.55</v>
      </c>
      <c r="C17" s="25">
        <v>150</v>
      </c>
      <c r="D17" s="4">
        <f t="shared" si="0"/>
        <v>4.5500000000000114</v>
      </c>
      <c r="E17" s="4">
        <f t="shared" si="1"/>
        <v>4</v>
      </c>
      <c r="F17" s="4">
        <f t="shared" si="2"/>
        <v>0.91666666666668561</v>
      </c>
      <c r="G17" s="4">
        <f t="shared" si="3"/>
        <v>149.44806108932161</v>
      </c>
      <c r="H17" s="4">
        <f t="shared" si="4"/>
        <v>12.856011692682745</v>
      </c>
      <c r="I17" s="4"/>
      <c r="J17" s="4"/>
      <c r="K17" s="4">
        <f t="shared" si="5"/>
        <v>-37.832702647391812</v>
      </c>
      <c r="L17" s="4">
        <f t="shared" si="6"/>
        <v>9.0822386946517319</v>
      </c>
      <c r="M17" s="4">
        <f t="shared" si="7"/>
        <v>1431.3133896059674</v>
      </c>
      <c r="N17" s="4">
        <f t="shared" si="8"/>
        <v>82.487059706629196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271.2</v>
      </c>
      <c r="C18" s="25">
        <v>166</v>
      </c>
      <c r="D18" s="4">
        <f t="shared" si="0"/>
        <v>1.1999999999999886</v>
      </c>
      <c r="E18" s="4">
        <f t="shared" si="1"/>
        <v>1</v>
      </c>
      <c r="F18" s="4">
        <f t="shared" si="2"/>
        <v>0.33333333333331439</v>
      </c>
      <c r="G18" s="4">
        <f t="shared" si="3"/>
        <v>165.95505403579065</v>
      </c>
      <c r="H18" s="4">
        <f t="shared" si="4"/>
        <v>3.8626467580932946</v>
      </c>
      <c r="I18" s="4"/>
      <c r="J18" s="4"/>
      <c r="K18" s="4">
        <f t="shared" si="5"/>
        <v>-21.325709700922772</v>
      </c>
      <c r="L18" s="4">
        <f t="shared" si="6"/>
        <v>8.8873760062281981E-2</v>
      </c>
      <c r="M18" s="4">
        <f t="shared" si="7"/>
        <v>454.78589424803164</v>
      </c>
      <c r="N18" s="4">
        <f t="shared" si="8"/>
        <v>7.8985452276080677E-3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274.5</v>
      </c>
      <c r="C19" s="25">
        <v>186</v>
      </c>
      <c r="D19" s="4">
        <f t="shared" si="0"/>
        <v>4.5</v>
      </c>
      <c r="E19" s="4">
        <f t="shared" si="1"/>
        <v>4</v>
      </c>
      <c r="F19" s="4">
        <f t="shared" si="2"/>
        <v>0.83333333333333337</v>
      </c>
      <c r="G19" s="4">
        <f t="shared" si="3"/>
        <v>185.33858564014272</v>
      </c>
      <c r="H19" s="4">
        <f t="shared" si="4"/>
        <v>15.671907124261713</v>
      </c>
      <c r="I19" s="4"/>
      <c r="J19" s="4"/>
      <c r="K19" s="4">
        <f t="shared" si="5"/>
        <v>-1.9421780965707001</v>
      </c>
      <c r="L19" s="4">
        <f t="shared" si="6"/>
        <v>11.898134126230701</v>
      </c>
      <c r="M19" s="4">
        <f t="shared" si="7"/>
        <v>3.7720557587989876</v>
      </c>
      <c r="N19" s="4">
        <f t="shared" si="8"/>
        <v>141.56559568577561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275.2</v>
      </c>
      <c r="C20" s="25">
        <v>196</v>
      </c>
      <c r="D20" s="4">
        <f t="shared" si="0"/>
        <v>5.1999999999999886</v>
      </c>
      <c r="E20" s="4">
        <f t="shared" si="1"/>
        <v>5</v>
      </c>
      <c r="F20" s="4">
        <f t="shared" si="2"/>
        <v>0.33333333333331439</v>
      </c>
      <c r="G20" s="4">
        <f t="shared" si="3"/>
        <v>195.15147496736168</v>
      </c>
      <c r="H20" s="4">
        <f t="shared" si="4"/>
        <v>18.218172742160807</v>
      </c>
      <c r="I20" s="4"/>
      <c r="J20" s="4"/>
      <c r="K20" s="4">
        <f t="shared" si="5"/>
        <v>7.8707112306482543</v>
      </c>
      <c r="L20" s="4">
        <f t="shared" si="6"/>
        <v>14.444399744129793</v>
      </c>
      <c r="M20" s="4">
        <f t="shared" si="7"/>
        <v>61.948095276252559</v>
      </c>
      <c r="N20" s="4">
        <f t="shared" si="8"/>
        <v>208.64068396821682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271.3</v>
      </c>
      <c r="C21" s="25">
        <v>194</v>
      </c>
      <c r="D21" s="4">
        <f t="shared" si="0"/>
        <v>1.3000000000000114</v>
      </c>
      <c r="E21" s="4">
        <f t="shared" si="1"/>
        <v>1</v>
      </c>
      <c r="F21" s="4">
        <f t="shared" si="2"/>
        <v>0.50000000000001887</v>
      </c>
      <c r="G21" s="4">
        <f t="shared" si="3"/>
        <v>193.93352104525812</v>
      </c>
      <c r="H21" s="4">
        <f t="shared" si="4"/>
        <v>5.0783279717274548</v>
      </c>
      <c r="I21" s="4"/>
      <c r="J21" s="4"/>
      <c r="K21" s="4">
        <f t="shared" si="5"/>
        <v>6.6527573085446932</v>
      </c>
      <c r="L21" s="4">
        <f t="shared" si="6"/>
        <v>1.3045549736964421</v>
      </c>
      <c r="M21" s="4">
        <f t="shared" si="7"/>
        <v>44.259179806394833</v>
      </c>
      <c r="N21" s="4">
        <f t="shared" si="8"/>
        <v>1.7018636793961248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274.10000000000002</v>
      </c>
      <c r="C22" s="25">
        <v>210</v>
      </c>
      <c r="D22" s="4">
        <f t="shared" si="0"/>
        <v>4.1000000000000227</v>
      </c>
      <c r="E22" s="4">
        <f t="shared" si="1"/>
        <v>4</v>
      </c>
      <c r="F22" s="4">
        <f t="shared" si="2"/>
        <v>0.16666666666670457</v>
      </c>
      <c r="G22" s="4">
        <f t="shared" si="3"/>
        <v>209.44495250712018</v>
      </c>
      <c r="H22" s="4">
        <f t="shared" si="4"/>
        <v>15.258173851748365</v>
      </c>
      <c r="I22" s="4"/>
      <c r="J22" s="4"/>
      <c r="K22" s="4">
        <f t="shared" si="5"/>
        <v>22.164188770406753</v>
      </c>
      <c r="L22" s="4">
        <f t="shared" si="6"/>
        <v>11.484400853717354</v>
      </c>
      <c r="M22" s="4">
        <f t="shared" si="7"/>
        <v>491.2512638502248</v>
      </c>
      <c r="N22" s="4">
        <f t="shared" si="8"/>
        <v>131.89146296886389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272.3</v>
      </c>
      <c r="C23" s="25">
        <v>216</v>
      </c>
      <c r="D23" s="4">
        <f t="shared" si="0"/>
        <v>2.3000000000000114</v>
      </c>
      <c r="E23" s="4">
        <f t="shared" si="1"/>
        <v>2</v>
      </c>
      <c r="F23" s="4">
        <f t="shared" si="2"/>
        <v>0.50000000000001887</v>
      </c>
      <c r="G23" s="4">
        <f t="shared" si="3"/>
        <v>215.79441586168127</v>
      </c>
      <c r="H23" s="4">
        <f t="shared" si="4"/>
        <v>9.4217876709126465</v>
      </c>
      <c r="I23" s="4"/>
      <c r="J23" s="4"/>
      <c r="K23" s="4">
        <f t="shared" si="5"/>
        <v>28.513652124967848</v>
      </c>
      <c r="L23" s="4">
        <f t="shared" si="6"/>
        <v>5.6480146728816338</v>
      </c>
      <c r="M23" s="4">
        <f t="shared" si="7"/>
        <v>813.02835750368342</v>
      </c>
      <c r="N23" s="4">
        <f t="shared" si="8"/>
        <v>31.900069745086228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270.35000000000002</v>
      </c>
      <c r="C24" s="25">
        <v>214</v>
      </c>
      <c r="D24" s="4">
        <f t="shared" si="0"/>
        <v>0.35000000000002274</v>
      </c>
      <c r="E24" s="4">
        <f t="shared" si="1"/>
        <v>0</v>
      </c>
      <c r="F24" s="4">
        <f t="shared" si="2"/>
        <v>0.58333333333337123</v>
      </c>
      <c r="G24" s="4">
        <f t="shared" si="3"/>
        <v>213.98890906016419</v>
      </c>
      <c r="H24" s="4">
        <f t="shared" si="4"/>
        <v>2.1787150435007652</v>
      </c>
      <c r="I24" s="4"/>
      <c r="J24" s="4"/>
      <c r="K24" s="4">
        <f t="shared" si="5"/>
        <v>26.708145323450765</v>
      </c>
      <c r="L24" s="4">
        <f t="shared" si="6"/>
        <v>-1.5950579545302475</v>
      </c>
      <c r="M24" s="4">
        <f t="shared" si="7"/>
        <v>713.32502661856495</v>
      </c>
      <c r="N24" s="4">
        <f t="shared" si="8"/>
        <v>2.5442098783102169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267.3</v>
      </c>
      <c r="C25" s="25">
        <v>216</v>
      </c>
      <c r="D25" s="4">
        <f t="shared" si="0"/>
        <v>-2.6999999999999886</v>
      </c>
      <c r="E25" s="4">
        <f t="shared" si="1"/>
        <v>-3</v>
      </c>
      <c r="F25" s="4">
        <f t="shared" si="2"/>
        <v>0.50000000000001887</v>
      </c>
      <c r="G25" s="4">
        <f t="shared" si="3"/>
        <v>215.79441586168127</v>
      </c>
      <c r="H25" s="4">
        <f t="shared" si="4"/>
        <v>-9.4217876709125061</v>
      </c>
      <c r="I25" s="4"/>
      <c r="J25" s="4"/>
      <c r="K25" s="4">
        <f t="shared" si="5"/>
        <v>28.513652124967848</v>
      </c>
      <c r="L25" s="4">
        <f t="shared" si="6"/>
        <v>-13.195560668943518</v>
      </c>
      <c r="M25" s="4">
        <f t="shared" si="7"/>
        <v>813.02835750368342</v>
      </c>
      <c r="N25" s="4">
        <f t="shared" si="8"/>
        <v>174.12282136776909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266.39999999999998</v>
      </c>
      <c r="C26" s="25">
        <v>228</v>
      </c>
      <c r="D26" s="4">
        <f t="shared" si="0"/>
        <v>-3.6000000000000227</v>
      </c>
      <c r="E26" s="4">
        <f t="shared" si="1"/>
        <v>-4</v>
      </c>
      <c r="F26" s="4">
        <f t="shared" si="2"/>
        <v>0.66666666666662877</v>
      </c>
      <c r="G26" s="4">
        <f t="shared" si="3"/>
        <v>227.61426008584914</v>
      </c>
      <c r="H26" s="4">
        <f t="shared" si="4"/>
        <v>-13.257020991588639</v>
      </c>
      <c r="I26" s="4"/>
      <c r="J26" s="4"/>
      <c r="K26" s="4">
        <f t="shared" si="5"/>
        <v>40.333496349135714</v>
      </c>
      <c r="L26" s="4">
        <f t="shared" si="6"/>
        <v>-17.030793989619653</v>
      </c>
      <c r="M26" s="4">
        <f t="shared" si="7"/>
        <v>1626.7909277457441</v>
      </c>
      <c r="N26" s="4">
        <f t="shared" si="8"/>
        <v>290.04794391686488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268.39999999999998</v>
      </c>
      <c r="C27" s="25">
        <v>228</v>
      </c>
      <c r="D27" s="4">
        <f t="shared" si="0"/>
        <v>-1.6000000000000227</v>
      </c>
      <c r="E27" s="4">
        <f t="shared" si="1"/>
        <v>-2</v>
      </c>
      <c r="F27" s="4">
        <f t="shared" si="2"/>
        <v>0.66666666666662877</v>
      </c>
      <c r="G27" s="4">
        <f t="shared" si="3"/>
        <v>227.93826698891726</v>
      </c>
      <c r="H27" s="4">
        <f t="shared" si="4"/>
        <v>-5.3053220532849918</v>
      </c>
      <c r="I27" s="4"/>
      <c r="J27" s="4"/>
      <c r="K27" s="4">
        <f t="shared" si="5"/>
        <v>40.657503252203838</v>
      </c>
      <c r="L27" s="4">
        <f t="shared" si="6"/>
        <v>-9.0790950513160045</v>
      </c>
      <c r="M27" s="4">
        <f t="shared" si="7"/>
        <v>1653.0325707029656</v>
      </c>
      <c r="N27" s="4">
        <f t="shared" si="8"/>
        <v>82.42996695083076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273.10000000000002</v>
      </c>
      <c r="C28" s="25">
        <v>226</v>
      </c>
      <c r="D28" s="4">
        <f t="shared" si="0"/>
        <v>3.1000000000000227</v>
      </c>
      <c r="E28" s="4">
        <f t="shared" si="1"/>
        <v>3</v>
      </c>
      <c r="F28" s="4">
        <f t="shared" si="2"/>
        <v>0.16666666666670457</v>
      </c>
      <c r="G28" s="4">
        <f t="shared" si="3"/>
        <v>225.65491401149237</v>
      </c>
      <c r="H28" s="4">
        <f t="shared" si="4"/>
        <v>12.484381541189505</v>
      </c>
      <c r="I28" s="4"/>
      <c r="J28" s="4"/>
      <c r="K28" s="4">
        <f t="shared" si="5"/>
        <v>38.374150274778941</v>
      </c>
      <c r="L28" s="4">
        <f t="shared" si="6"/>
        <v>8.710608543158493</v>
      </c>
      <c r="M28" s="4">
        <f t="shared" si="7"/>
        <v>1472.5754093113167</v>
      </c>
      <c r="N28" s="4">
        <f t="shared" si="8"/>
        <v>75.874701192145722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272.2</v>
      </c>
      <c r="C29" s="25">
        <v>228</v>
      </c>
      <c r="D29" s="4">
        <f t="shared" si="0"/>
        <v>2.1999999999999886</v>
      </c>
      <c r="E29" s="4">
        <f t="shared" si="1"/>
        <v>2</v>
      </c>
      <c r="F29" s="4">
        <f t="shared" si="2"/>
        <v>0.33333333333331439</v>
      </c>
      <c r="G29" s="4">
        <f t="shared" si="3"/>
        <v>227.81096025005644</v>
      </c>
      <c r="H29" s="4">
        <f t="shared" si="4"/>
        <v>9.282585305139774</v>
      </c>
      <c r="I29" s="4"/>
      <c r="J29" s="4"/>
      <c r="K29" s="4">
        <f t="shared" si="5"/>
        <v>40.530196513343014</v>
      </c>
      <c r="L29" s="4">
        <f t="shared" si="6"/>
        <v>5.5088123071087614</v>
      </c>
      <c r="M29" s="4">
        <f t="shared" si="7"/>
        <v>1642.6968294102023</v>
      </c>
      <c r="N29" s="4">
        <f t="shared" si="8"/>
        <v>30.347013034952955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268.55</v>
      </c>
      <c r="C30" s="25">
        <v>218</v>
      </c>
      <c r="D30" s="4">
        <f t="shared" si="0"/>
        <v>-1.4499999999999886</v>
      </c>
      <c r="E30" s="4">
        <f t="shared" si="1"/>
        <v>-2</v>
      </c>
      <c r="F30" s="4">
        <f t="shared" si="2"/>
        <v>0.91666666666668561</v>
      </c>
      <c r="G30" s="4">
        <f t="shared" si="3"/>
        <v>217.961033400562</v>
      </c>
      <c r="H30" s="4">
        <f t="shared" si="4"/>
        <v>-4.1216403238398511</v>
      </c>
      <c r="I30" s="4"/>
      <c r="J30" s="4"/>
      <c r="K30" s="4">
        <f t="shared" si="5"/>
        <v>30.680269663848577</v>
      </c>
      <c r="L30" s="4">
        <f t="shared" si="6"/>
        <v>-7.8954133218708638</v>
      </c>
      <c r="M30" s="4">
        <f t="shared" si="7"/>
        <v>941.27894664646726</v>
      </c>
      <c r="N30" s="4">
        <f t="shared" si="8"/>
        <v>62.337551523175911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267.3</v>
      </c>
      <c r="C31" s="25">
        <v>182</v>
      </c>
      <c r="D31" s="4">
        <f t="shared" si="0"/>
        <v>-2.6999999999999886</v>
      </c>
      <c r="E31" s="4">
        <f t="shared" si="1"/>
        <v>-3</v>
      </c>
      <c r="F31" s="4">
        <f>IF(B31,((D31-E31)/60*100)," ")</f>
        <v>0.50000000000001887</v>
      </c>
      <c r="G31" s="4">
        <f t="shared" si="3"/>
        <v>181.82677632789813</v>
      </c>
      <c r="H31" s="4">
        <f t="shared" si="4"/>
        <v>-7.9387285004910924</v>
      </c>
      <c r="I31" s="4"/>
      <c r="J31" s="4"/>
      <c r="K31" s="4">
        <f t="shared" si="5"/>
        <v>-5.4539874088152942</v>
      </c>
      <c r="L31" s="4">
        <f t="shared" si="6"/>
        <v>-11.712501498522105</v>
      </c>
      <c r="M31" s="4">
        <f t="shared" si="7"/>
        <v>29.745978655515767</v>
      </c>
      <c r="N31" s="4">
        <f t="shared" si="8"/>
        <v>137.18269135288256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268</v>
      </c>
      <c r="C32" s="25">
        <v>166</v>
      </c>
      <c r="D32" s="4">
        <f t="shared" si="0"/>
        <v>-2</v>
      </c>
      <c r="E32" s="4">
        <f t="shared" si="1"/>
        <v>-2</v>
      </c>
      <c r="F32" s="4">
        <f t="shared" si="2"/>
        <v>0</v>
      </c>
      <c r="G32" s="4">
        <f t="shared" si="3"/>
        <v>165.8988772851699</v>
      </c>
      <c r="H32" s="4">
        <f>IF(B32,(C32*SIN(PI()/180*(E32+F32)))," ")</f>
        <v>-5.7933164526151613</v>
      </c>
      <c r="I32" s="4"/>
      <c r="J32" s="4"/>
      <c r="K32" s="4">
        <f t="shared" si="5"/>
        <v>-21.381886451543522</v>
      </c>
      <c r="L32" s="4">
        <f t="shared" si="6"/>
        <v>-9.5670894506461739</v>
      </c>
      <c r="M32" s="4">
        <f t="shared" si="7"/>
        <v>457.18506822670042</v>
      </c>
      <c r="N32" s="4">
        <f t="shared" si="8"/>
        <v>91.529200556665316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/>
      <c r="C33" s="25"/>
      <c r="D33" s="4" t="str">
        <f t="shared" si="0"/>
        <v xml:space="preserve"> </v>
      </c>
      <c r="E33" s="4" t="str">
        <f t="shared" si="1"/>
        <v xml:space="preserve"> </v>
      </c>
      <c r="F33" s="4" t="str">
        <f t="shared" si="2"/>
        <v xml:space="preserve"> </v>
      </c>
      <c r="G33" s="4" t="str">
        <f t="shared" si="3"/>
        <v xml:space="preserve"> </v>
      </c>
      <c r="H33" s="4" t="str">
        <f t="shared" si="4"/>
        <v xml:space="preserve"> </v>
      </c>
      <c r="I33" s="4"/>
      <c r="J33" s="4"/>
      <c r="K33" s="4" t="str">
        <f t="shared" si="5"/>
        <v xml:space="preserve"> </v>
      </c>
      <c r="L33" s="4" t="str">
        <f t="shared" si="6"/>
        <v xml:space="preserve"> </v>
      </c>
      <c r="M33" s="4" t="str">
        <f t="shared" si="7"/>
        <v xml:space="preserve"> </v>
      </c>
      <c r="N33" s="4" t="str">
        <f t="shared" si="8"/>
        <v xml:space="preserve"> 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/>
      <c r="C34" s="25"/>
      <c r="D34" s="4" t="str">
        <f t="shared" si="0"/>
        <v xml:space="preserve"> </v>
      </c>
      <c r="E34" s="4" t="str">
        <f t="shared" si="1"/>
        <v xml:space="preserve"> </v>
      </c>
      <c r="F34" s="4" t="str">
        <f t="shared" si="2"/>
        <v xml:space="preserve"> </v>
      </c>
      <c r="G34" s="4" t="str">
        <f t="shared" si="3"/>
        <v xml:space="preserve"> </v>
      </c>
      <c r="H34" s="4" t="str">
        <f t="shared" si="4"/>
        <v xml:space="preserve"> </v>
      </c>
      <c r="I34" s="4"/>
      <c r="J34" s="4"/>
      <c r="K34" s="4" t="str">
        <f>IF(B34,SUM(G34,-$I$12)," ")</f>
        <v xml:space="preserve"> </v>
      </c>
      <c r="L34" s="4" t="str">
        <f t="shared" si="6"/>
        <v xml:space="preserve"> </v>
      </c>
      <c r="M34" s="4" t="str">
        <f t="shared" si="7"/>
        <v xml:space="preserve"> </v>
      </c>
      <c r="N34" s="4" t="str">
        <f t="shared" si="8"/>
        <v xml:space="preserve"> 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226.4</v>
      </c>
      <c r="C38" s="25">
        <v>152</v>
      </c>
      <c r="D38" s="4">
        <f t="shared" ref="D38:D61" si="9">IF(B38,B38-$C$4," ")</f>
        <v>-43.599999999999994</v>
      </c>
      <c r="E38" s="4">
        <f t="shared" ref="E38:E61" si="10">IF(B38,INT(D38)," ")</f>
        <v>-44</v>
      </c>
      <c r="F38" s="4">
        <f t="shared" ref="F38:F61" si="11">IF(B38,((D38-E38)/60*100)," ")</f>
        <v>0.66666666666667618</v>
      </c>
      <c r="G38" s="4">
        <f t="shared" ref="G38:G61" si="12">IF(B38,C38*COS(PI()/180*(E38+F38))," ")</f>
        <v>110.56079351910343</v>
      </c>
      <c r="H38" s="4">
        <f t="shared" ref="H38:H61" si="13">IF(B38,(C38*SIN(PI()/180*(E38+F38)))," ")</f>
        <v>-104.30872895604747</v>
      </c>
      <c r="I38" s="4">
        <f>SUM(G38:G60)/E6</f>
        <v>125.60642145058307</v>
      </c>
      <c r="J38" s="4">
        <f>SUM(H38:H60)/E6</f>
        <v>-113.02771349739395</v>
      </c>
      <c r="K38" s="4">
        <f t="shared" ref="K38:K61" si="14">IF(B38,SUM(G38,-$I$12)," ")</f>
        <v>-76.719970217609998</v>
      </c>
      <c r="L38" s="4">
        <f t="shared" ref="L38:L61" si="15">IF(B38,SUM(H38,-$J$12)," ")</f>
        <v>-108.08250195407848</v>
      </c>
      <c r="M38" s="4">
        <f t="shared" ref="M38:M61" si="16">IF(B38,POWER(K38,2)," ")</f>
        <v>5885.9538301909652</v>
      </c>
      <c r="N38" s="4">
        <f t="shared" ref="N38:N61" si="17">IF(B38,POWER(L38,2)," ")</f>
        <v>11681.827228653379</v>
      </c>
      <c r="O38" s="4">
        <f>E6-1</f>
        <v>22</v>
      </c>
      <c r="P38" s="4">
        <f>SUM(M38:M60)</f>
        <v>103210.79320325002</v>
      </c>
      <c r="Q38" s="4">
        <f>SUM(N38:N61)</f>
        <v>315568.92296238657</v>
      </c>
      <c r="R38" s="4">
        <f>PRODUCT(P38,1/$O$38)</f>
        <v>4691.3996910568194</v>
      </c>
      <c r="S38" s="4">
        <f>PRODUCT(Q38,1/$O$38)</f>
        <v>14344.041952835754</v>
      </c>
      <c r="T38" s="4">
        <f>SQRT(R38)</f>
        <v>68.49379308416799</v>
      </c>
      <c r="U38" s="4">
        <f>SQRT(S38)</f>
        <v>119.76661451688344</v>
      </c>
      <c r="V38" s="4">
        <f>PRODUCT(T38:U38)</f>
        <v>8203.2697131107252</v>
      </c>
      <c r="W38" s="10">
        <f>SQRT(V38)</f>
        <v>90.571903552430243</v>
      </c>
    </row>
    <row r="39" spans="1:23">
      <c r="A39" s="3">
        <v>2</v>
      </c>
      <c r="B39" s="25">
        <v>230.35</v>
      </c>
      <c r="C39" s="25">
        <v>156</v>
      </c>
      <c r="D39" s="4">
        <f t="shared" si="9"/>
        <v>-39.650000000000006</v>
      </c>
      <c r="E39" s="4">
        <f t="shared" si="10"/>
        <v>-40</v>
      </c>
      <c r="F39" s="4">
        <f t="shared" si="11"/>
        <v>0.58333333333332382</v>
      </c>
      <c r="G39" s="4">
        <f t="shared" si="12"/>
        <v>120.51762920888986</v>
      </c>
      <c r="H39" s="4">
        <f t="shared" si="13"/>
        <v>-99.053021407065302</v>
      </c>
      <c r="I39" s="4"/>
      <c r="J39" s="4"/>
      <c r="K39" s="4">
        <f t="shared" si="14"/>
        <v>-66.763134527823567</v>
      </c>
      <c r="L39" s="4">
        <f t="shared" si="15"/>
        <v>-102.82679440509631</v>
      </c>
      <c r="M39" s="4">
        <f t="shared" si="16"/>
        <v>4457.3161319802675</v>
      </c>
      <c r="N39" s="4">
        <f t="shared" si="17"/>
        <v>10573.349647627945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232.5</v>
      </c>
      <c r="C40" s="25">
        <v>166</v>
      </c>
      <c r="D40" s="4">
        <f t="shared" si="9"/>
        <v>-37.5</v>
      </c>
      <c r="E40" s="4">
        <f t="shared" si="10"/>
        <v>-38</v>
      </c>
      <c r="F40" s="4">
        <f t="shared" si="11"/>
        <v>0.83333333333333337</v>
      </c>
      <c r="G40" s="4">
        <f t="shared" si="12"/>
        <v>132.28233310236683</v>
      </c>
      <c r="H40" s="4">
        <f t="shared" si="13"/>
        <v>-100.28651130134334</v>
      </c>
      <c r="I40" s="4"/>
      <c r="J40" s="4"/>
      <c r="K40" s="4">
        <f t="shared" si="14"/>
        <v>-54.99843063434659</v>
      </c>
      <c r="L40" s="4">
        <f t="shared" si="15"/>
        <v>-104.06028429937435</v>
      </c>
      <c r="M40" s="4">
        <f t="shared" si="16"/>
        <v>3024.8273722410336</v>
      </c>
      <c r="N40" s="4">
        <f t="shared" si="17"/>
        <v>10828.542768466616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233</v>
      </c>
      <c r="C41" s="25">
        <v>172</v>
      </c>
      <c r="D41" s="4">
        <f t="shared" si="9"/>
        <v>-37</v>
      </c>
      <c r="E41" s="4">
        <f t="shared" si="10"/>
        <v>-37</v>
      </c>
      <c r="F41" s="4">
        <f t="shared" si="11"/>
        <v>0</v>
      </c>
      <c r="G41" s="4">
        <f t="shared" si="12"/>
        <v>137.36530772813435</v>
      </c>
      <c r="H41" s="4">
        <f t="shared" si="13"/>
        <v>-103.51218398215231</v>
      </c>
      <c r="I41" s="4"/>
      <c r="J41" s="4"/>
      <c r="K41" s="4">
        <f t="shared" si="14"/>
        <v>-49.915456008579071</v>
      </c>
      <c r="L41" s="4">
        <f t="shared" si="15"/>
        <v>-107.28595698018331</v>
      </c>
      <c r="M41" s="4">
        <f t="shared" si="16"/>
        <v>2491.5527485443927</v>
      </c>
      <c r="N41" s="4">
        <f t="shared" si="17"/>
        <v>11510.276565153745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234.25</v>
      </c>
      <c r="C42" s="25">
        <v>176</v>
      </c>
      <c r="D42" s="4">
        <f t="shared" si="9"/>
        <v>-35.75</v>
      </c>
      <c r="E42" s="4">
        <f t="shared" si="10"/>
        <v>-36</v>
      </c>
      <c r="F42" s="4">
        <f t="shared" si="11"/>
        <v>0.41666666666666669</v>
      </c>
      <c r="G42" s="4">
        <f t="shared" si="12"/>
        <v>143.13553044595295</v>
      </c>
      <c r="H42" s="4">
        <f t="shared" si="13"/>
        <v>-102.41201064306705</v>
      </c>
      <c r="I42" s="4"/>
      <c r="J42" s="4"/>
      <c r="K42" s="4">
        <f t="shared" si="14"/>
        <v>-44.145233290760473</v>
      </c>
      <c r="L42" s="4">
        <f t="shared" si="15"/>
        <v>-106.18578364109806</v>
      </c>
      <c r="M42" s="4">
        <f t="shared" si="16"/>
        <v>1948.8016222956667</v>
      </c>
      <c r="N42" s="4">
        <f t="shared" si="17"/>
        <v>11275.420647474088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232.2</v>
      </c>
      <c r="C43" s="25">
        <v>182</v>
      </c>
      <c r="D43" s="4">
        <f t="shared" si="9"/>
        <v>-37.800000000000011</v>
      </c>
      <c r="E43" s="4">
        <f t="shared" si="10"/>
        <v>-38</v>
      </c>
      <c r="F43" s="4">
        <f t="shared" si="11"/>
        <v>0.33333333333331439</v>
      </c>
      <c r="G43" s="4">
        <f t="shared" si="12"/>
        <v>144.06740913250198</v>
      </c>
      <c r="H43" s="4">
        <f t="shared" si="13"/>
        <v>-111.2141251183872</v>
      </c>
      <c r="I43" s="4"/>
      <c r="J43" s="4"/>
      <c r="K43" s="4">
        <f t="shared" si="14"/>
        <v>-43.213354604211446</v>
      </c>
      <c r="L43" s="4">
        <f t="shared" si="15"/>
        <v>-114.98789811641821</v>
      </c>
      <c r="M43" s="4">
        <f t="shared" si="16"/>
        <v>1867.3940161493226</v>
      </c>
      <c r="N43" s="4">
        <f t="shared" si="17"/>
        <v>13222.216713231774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233</v>
      </c>
      <c r="C44" s="25">
        <v>184</v>
      </c>
      <c r="D44" s="4">
        <f t="shared" si="9"/>
        <v>-37</v>
      </c>
      <c r="E44" s="4">
        <f t="shared" si="10"/>
        <v>-37</v>
      </c>
      <c r="F44" s="4">
        <f t="shared" si="11"/>
        <v>0</v>
      </c>
      <c r="G44" s="4">
        <f t="shared" si="12"/>
        <v>146.94893384870187</v>
      </c>
      <c r="H44" s="4">
        <f t="shared" si="13"/>
        <v>-110.73396425997689</v>
      </c>
      <c r="I44" s="4"/>
      <c r="J44" s="4"/>
      <c r="K44" s="4">
        <f t="shared" si="14"/>
        <v>-40.331829888011555</v>
      </c>
      <c r="L44" s="4">
        <f t="shared" si="15"/>
        <v>-114.50773725800789</v>
      </c>
      <c r="M44" s="4">
        <f t="shared" si="16"/>
        <v>1626.6565021155022</v>
      </c>
      <c r="N44" s="4">
        <f t="shared" si="17"/>
        <v>13112.021891948969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>
        <v>233.2</v>
      </c>
      <c r="C45" s="25">
        <v>188</v>
      </c>
      <c r="D45" s="4">
        <f t="shared" si="9"/>
        <v>-36.800000000000011</v>
      </c>
      <c r="E45" s="4">
        <f t="shared" si="10"/>
        <v>-37</v>
      </c>
      <c r="F45" s="4">
        <f t="shared" si="11"/>
        <v>0.33333333333331439</v>
      </c>
      <c r="G45" s="4">
        <f t="shared" si="12"/>
        <v>150.7991602379482</v>
      </c>
      <c r="H45" s="4">
        <f t="shared" si="13"/>
        <v>-112.26581524012384</v>
      </c>
      <c r="I45" s="4"/>
      <c r="J45" s="4"/>
      <c r="K45" s="4">
        <f t="shared" si="14"/>
        <v>-36.481603498765224</v>
      </c>
      <c r="L45" s="4">
        <f t="shared" si="15"/>
        <v>-116.03958823815485</v>
      </c>
      <c r="M45" s="4">
        <f t="shared" si="16"/>
        <v>1330.9073938411191</v>
      </c>
      <c r="N45" s="4">
        <f t="shared" si="17"/>
        <v>13465.186038480526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235.55</v>
      </c>
      <c r="C46" s="25">
        <v>188</v>
      </c>
      <c r="D46" s="4">
        <f t="shared" si="9"/>
        <v>-34.449999999999989</v>
      </c>
      <c r="E46" s="4">
        <f t="shared" si="10"/>
        <v>-35</v>
      </c>
      <c r="F46" s="4">
        <f t="shared" si="11"/>
        <v>0.91666666666668561</v>
      </c>
      <c r="G46" s="4">
        <f t="shared" si="12"/>
        <v>155.70599597758141</v>
      </c>
      <c r="H46" s="4">
        <f t="shared" si="13"/>
        <v>-105.35484239762972</v>
      </c>
      <c r="I46" s="4"/>
      <c r="J46" s="4"/>
      <c r="K46" s="4">
        <f t="shared" si="14"/>
        <v>-31.574767759132015</v>
      </c>
      <c r="L46" s="4">
        <f t="shared" si="15"/>
        <v>-109.12861539566073</v>
      </c>
      <c r="M46" s="4">
        <f t="shared" si="16"/>
        <v>996.96595904312255</v>
      </c>
      <c r="N46" s="4">
        <f t="shared" si="17"/>
        <v>11909.054698174041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234.15</v>
      </c>
      <c r="C47" s="25">
        <v>198</v>
      </c>
      <c r="D47" s="4">
        <f t="shared" si="9"/>
        <v>-35.849999999999994</v>
      </c>
      <c r="E47" s="4">
        <f t="shared" si="10"/>
        <v>-36</v>
      </c>
      <c r="F47" s="4">
        <f t="shared" si="11"/>
        <v>0.25000000000000944</v>
      </c>
      <c r="G47" s="4">
        <f t="shared" si="12"/>
        <v>160.69164842907244</v>
      </c>
      <c r="H47" s="4">
        <f t="shared" si="13"/>
        <v>-115.68143379621202</v>
      </c>
      <c r="I47" s="4"/>
      <c r="J47" s="4"/>
      <c r="K47" s="4">
        <f t="shared" si="14"/>
        <v>-26.589115307640981</v>
      </c>
      <c r="L47" s="4">
        <f t="shared" si="15"/>
        <v>-119.45520679424303</v>
      </c>
      <c r="M47" s="4">
        <f t="shared" si="16"/>
        <v>706.9810528430279</v>
      </c>
      <c r="N47" s="4">
        <f t="shared" si="17"/>
        <v>14269.546430255365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232.05</v>
      </c>
      <c r="C48" s="25">
        <v>186</v>
      </c>
      <c r="D48" s="4">
        <f t="shared" si="9"/>
        <v>-37.949999999999989</v>
      </c>
      <c r="E48" s="4">
        <f t="shared" si="10"/>
        <v>-38</v>
      </c>
      <c r="F48" s="4">
        <f t="shared" si="11"/>
        <v>8.3333333333352286E-2</v>
      </c>
      <c r="G48" s="4">
        <f t="shared" si="12"/>
        <v>146.73639754240222</v>
      </c>
      <c r="H48" s="4">
        <f t="shared" si="13"/>
        <v>-114.29973594141894</v>
      </c>
      <c r="I48" s="4"/>
      <c r="J48" s="4"/>
      <c r="K48" s="4">
        <f t="shared" si="14"/>
        <v>-40.544366194311209</v>
      </c>
      <c r="L48" s="4">
        <f t="shared" si="15"/>
        <v>-118.07350893944995</v>
      </c>
      <c r="M48" s="4">
        <f t="shared" si="16"/>
        <v>1643.8456300984055</v>
      </c>
      <c r="N48" s="4">
        <f t="shared" si="17"/>
        <v>13941.353513274367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>
        <v>229.05</v>
      </c>
      <c r="C49" s="25">
        <v>186</v>
      </c>
      <c r="D49" s="4">
        <f t="shared" si="9"/>
        <v>-40.949999999999989</v>
      </c>
      <c r="E49" s="4">
        <f t="shared" si="10"/>
        <v>-41</v>
      </c>
      <c r="F49" s="4">
        <f t="shared" si="11"/>
        <v>8.3333333333352286E-2</v>
      </c>
      <c r="G49" s="4">
        <f t="shared" si="12"/>
        <v>140.55331443052117</v>
      </c>
      <c r="H49" s="4">
        <f t="shared" si="13"/>
        <v>-121.8226818067762</v>
      </c>
      <c r="I49" s="4"/>
      <c r="J49" s="4"/>
      <c r="K49" s="4">
        <f t="shared" si="14"/>
        <v>-46.727449306192256</v>
      </c>
      <c r="L49" s="4">
        <f t="shared" si="15"/>
        <v>-125.59645480480721</v>
      </c>
      <c r="M49" s="4">
        <f t="shared" si="16"/>
        <v>2183.454518662767</v>
      </c>
      <c r="N49" s="4">
        <f t="shared" si="17"/>
        <v>15774.46945953598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>
        <v>225.15</v>
      </c>
      <c r="C50" s="25">
        <v>186</v>
      </c>
      <c r="D50" s="4">
        <f t="shared" si="9"/>
        <v>-44.849999999999994</v>
      </c>
      <c r="E50" s="4">
        <f t="shared" si="10"/>
        <v>-45</v>
      </c>
      <c r="F50" s="4">
        <f t="shared" si="11"/>
        <v>0.25000000000000944</v>
      </c>
      <c r="G50" s="4">
        <f t="shared" si="12"/>
        <v>132.09447986593108</v>
      </c>
      <c r="H50" s="4">
        <f t="shared" si="13"/>
        <v>-130.94673874881011</v>
      </c>
      <c r="I50" s="4"/>
      <c r="J50" s="4"/>
      <c r="K50" s="4">
        <f t="shared" si="14"/>
        <v>-55.186283870782347</v>
      </c>
      <c r="L50" s="4">
        <f t="shared" si="15"/>
        <v>-134.72051174684111</v>
      </c>
      <c r="M50" s="4">
        <f t="shared" si="16"/>
        <v>3045.5259274665718</v>
      </c>
      <c r="N50" s="4">
        <f t="shared" si="17"/>
        <v>18149.616285330754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>
        <v>226.4</v>
      </c>
      <c r="C51" s="25">
        <v>180</v>
      </c>
      <c r="D51" s="4">
        <f t="shared" si="9"/>
        <v>-43.599999999999994</v>
      </c>
      <c r="E51" s="4">
        <f t="shared" si="10"/>
        <v>-44</v>
      </c>
      <c r="F51" s="4">
        <f t="shared" si="11"/>
        <v>0.66666666666667618</v>
      </c>
      <c r="G51" s="4">
        <f t="shared" si="12"/>
        <v>130.9272554831488</v>
      </c>
      <c r="H51" s="4">
        <f t="shared" si="13"/>
        <v>-123.52349481637201</v>
      </c>
      <c r="I51" s="4"/>
      <c r="J51" s="4"/>
      <c r="K51" s="4">
        <f t="shared" si="14"/>
        <v>-56.353508253564627</v>
      </c>
      <c r="L51" s="4">
        <f t="shared" si="15"/>
        <v>-127.29726781440301</v>
      </c>
      <c r="M51" s="4">
        <f t="shared" si="16"/>
        <v>3175.7178924845766</v>
      </c>
      <c r="N51" s="4">
        <f t="shared" si="17"/>
        <v>16204.594393011845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>
        <v>229.3</v>
      </c>
      <c r="C52" s="25">
        <v>178</v>
      </c>
      <c r="D52" s="4">
        <f t="shared" si="9"/>
        <v>-40.699999999999989</v>
      </c>
      <c r="E52" s="4">
        <f t="shared" si="10"/>
        <v>-41</v>
      </c>
      <c r="F52" s="4">
        <f t="shared" si="11"/>
        <v>0.50000000000001887</v>
      </c>
      <c r="G52" s="4">
        <f t="shared" si="12"/>
        <v>135.35226187680556</v>
      </c>
      <c r="H52" s="4">
        <f t="shared" si="13"/>
        <v>-115.60175260277265</v>
      </c>
      <c r="I52" s="4"/>
      <c r="J52" s="4"/>
      <c r="K52" s="4">
        <f t="shared" si="14"/>
        <v>-51.928501859907868</v>
      </c>
      <c r="L52" s="4">
        <f t="shared" si="15"/>
        <v>-119.37552560080366</v>
      </c>
      <c r="M52" s="4">
        <f t="shared" si="16"/>
        <v>2696.5693054144549</v>
      </c>
      <c r="N52" s="4">
        <f t="shared" si="17"/>
        <v>14250.516112468129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>
        <v>229.5</v>
      </c>
      <c r="C53" s="25">
        <v>168</v>
      </c>
      <c r="D53" s="4">
        <f t="shared" si="9"/>
        <v>-40.5</v>
      </c>
      <c r="E53" s="4">
        <f t="shared" si="10"/>
        <v>-41</v>
      </c>
      <c r="F53" s="4">
        <f t="shared" si="11"/>
        <v>0.83333333333333337</v>
      </c>
      <c r="G53" s="4">
        <f t="shared" si="12"/>
        <v>128.38079711787339</v>
      </c>
      <c r="H53" s="4">
        <f t="shared" si="13"/>
        <v>-108.36222095997955</v>
      </c>
      <c r="I53" s="4"/>
      <c r="J53" s="4"/>
      <c r="K53" s="4">
        <f t="shared" si="14"/>
        <v>-58.89996661884004</v>
      </c>
      <c r="L53" s="4">
        <f t="shared" si="15"/>
        <v>-112.13599395801056</v>
      </c>
      <c r="M53" s="4">
        <f t="shared" si="16"/>
        <v>3469.2060677004711</v>
      </c>
      <c r="N53" s="4">
        <f t="shared" si="17"/>
        <v>12574.48114095098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>
        <v>226.55</v>
      </c>
      <c r="C54" s="25">
        <v>166</v>
      </c>
      <c r="D54" s="4">
        <f t="shared" si="9"/>
        <v>-43.449999999999989</v>
      </c>
      <c r="E54" s="4">
        <f t="shared" si="10"/>
        <v>-44</v>
      </c>
      <c r="F54" s="4">
        <f t="shared" si="11"/>
        <v>0.91666666666668561</v>
      </c>
      <c r="G54" s="4">
        <f t="shared" si="12"/>
        <v>121.23992633371257</v>
      </c>
      <c r="H54" s="4">
        <f t="shared" si="13"/>
        <v>-113.38818396374442</v>
      </c>
      <c r="I54" s="4"/>
      <c r="J54" s="4"/>
      <c r="K54" s="4">
        <f t="shared" si="14"/>
        <v>-66.04083740300085</v>
      </c>
      <c r="L54" s="4">
        <f t="shared" si="15"/>
        <v>-117.16195696177543</v>
      </c>
      <c r="M54" s="4">
        <f t="shared" si="16"/>
        <v>4361.3922048895965</v>
      </c>
      <c r="N54" s="4">
        <f t="shared" si="17"/>
        <v>13726.924159112918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>
        <v>225.55</v>
      </c>
      <c r="C55" s="25">
        <v>162</v>
      </c>
      <c r="D55" s="4">
        <f t="shared" si="9"/>
        <v>-44.449999999999989</v>
      </c>
      <c r="E55" s="4">
        <f t="shared" si="10"/>
        <v>-45</v>
      </c>
      <c r="F55" s="4">
        <f t="shared" si="11"/>
        <v>0.91666666666668561</v>
      </c>
      <c r="G55" s="4">
        <f t="shared" si="12"/>
        <v>116.36924943315383</v>
      </c>
      <c r="H55" s="4">
        <f t="shared" si="13"/>
        <v>-112.70402737420002</v>
      </c>
      <c r="I55" s="4"/>
      <c r="J55" s="4"/>
      <c r="K55" s="4">
        <f t="shared" si="14"/>
        <v>-70.911514303559599</v>
      </c>
      <c r="L55" s="4">
        <f t="shared" si="15"/>
        <v>-116.47780037223103</v>
      </c>
      <c r="M55" s="4">
        <f t="shared" si="16"/>
        <v>5028.4428608239377</v>
      </c>
      <c r="N55" s="4">
        <f t="shared" si="17"/>
        <v>13567.077979553304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>
        <v>225.1</v>
      </c>
      <c r="C56" s="25">
        <v>160</v>
      </c>
      <c r="D56" s="4">
        <f t="shared" si="9"/>
        <v>-44.900000000000006</v>
      </c>
      <c r="E56" s="4">
        <f t="shared" si="10"/>
        <v>-45</v>
      </c>
      <c r="F56" s="4">
        <f t="shared" si="11"/>
        <v>0.16666666666665719</v>
      </c>
      <c r="G56" s="4">
        <f t="shared" si="12"/>
        <v>113.46570830583097</v>
      </c>
      <c r="H56" s="4">
        <f t="shared" si="13"/>
        <v>-112.80750435434729</v>
      </c>
      <c r="I56" s="4"/>
      <c r="J56" s="4"/>
      <c r="K56" s="4">
        <f t="shared" si="14"/>
        <v>-73.815055430882452</v>
      </c>
      <c r="L56" s="4">
        <f t="shared" si="15"/>
        <v>-116.58127735237829</v>
      </c>
      <c r="M56" s="4">
        <f t="shared" si="16"/>
        <v>5448.6624082642493</v>
      </c>
      <c r="N56" s="4">
        <f t="shared" si="17"/>
        <v>13591.194229112152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>
        <v>220.1</v>
      </c>
      <c r="C57" s="25">
        <v>158</v>
      </c>
      <c r="D57" s="4">
        <f t="shared" si="9"/>
        <v>-49.900000000000006</v>
      </c>
      <c r="E57" s="4">
        <f t="shared" si="10"/>
        <v>-50</v>
      </c>
      <c r="F57" s="4">
        <f t="shared" si="11"/>
        <v>0.16666666666665719</v>
      </c>
      <c r="G57" s="4">
        <f t="shared" si="12"/>
        <v>101.91208875998076</v>
      </c>
      <c r="H57" s="4">
        <f t="shared" si="13"/>
        <v>-120.73908300371426</v>
      </c>
      <c r="I57" s="4"/>
      <c r="J57" s="4"/>
      <c r="K57" s="4">
        <f t="shared" si="14"/>
        <v>-85.368674976732663</v>
      </c>
      <c r="L57" s="4">
        <f t="shared" si="15"/>
        <v>-124.51285600174526</v>
      </c>
      <c r="M57" s="4">
        <f t="shared" si="16"/>
        <v>7287.8106672830218</v>
      </c>
      <c r="N57" s="4">
        <f t="shared" si="17"/>
        <v>15503.45130971135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>
        <v>216.3</v>
      </c>
      <c r="C58" s="25">
        <v>156</v>
      </c>
      <c r="D58" s="4">
        <f t="shared" si="9"/>
        <v>-53.699999999999989</v>
      </c>
      <c r="E58" s="4">
        <f t="shared" si="10"/>
        <v>-54</v>
      </c>
      <c r="F58" s="4">
        <f t="shared" si="11"/>
        <v>0.50000000000001887</v>
      </c>
      <c r="G58" s="4">
        <f t="shared" si="12"/>
        <v>92.792354733209294</v>
      </c>
      <c r="H58" s="4">
        <f t="shared" si="13"/>
        <v>-125.40167025628587</v>
      </c>
      <c r="I58" s="4"/>
      <c r="J58" s="4"/>
      <c r="K58" s="4">
        <f t="shared" si="14"/>
        <v>-94.488409003504131</v>
      </c>
      <c r="L58" s="4">
        <f t="shared" si="15"/>
        <v>-129.17544325431689</v>
      </c>
      <c r="M58" s="4">
        <f t="shared" si="16"/>
        <v>8928.0594360134801</v>
      </c>
      <c r="N58" s="4">
        <f t="shared" si="17"/>
        <v>16686.295139949241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>
        <v>219</v>
      </c>
      <c r="C59" s="25">
        <v>136</v>
      </c>
      <c r="D59" s="4">
        <f t="shared" si="9"/>
        <v>-51</v>
      </c>
      <c r="E59" s="4">
        <f t="shared" si="10"/>
        <v>-51</v>
      </c>
      <c r="F59" s="4">
        <f t="shared" si="11"/>
        <v>0</v>
      </c>
      <c r="G59" s="4">
        <f t="shared" si="12"/>
        <v>85.587573182777902</v>
      </c>
      <c r="H59" s="4">
        <f t="shared" si="13"/>
        <v>-105.69185075814804</v>
      </c>
      <c r="I59" s="4"/>
      <c r="J59" s="4"/>
      <c r="K59" s="4">
        <f t="shared" si="14"/>
        <v>-101.69319055393552</v>
      </c>
      <c r="L59" s="4">
        <f t="shared" si="15"/>
        <v>-109.46562375617904</v>
      </c>
      <c r="M59" s="4">
        <f t="shared" si="16"/>
        <v>10341.505005039042</v>
      </c>
      <c r="N59" s="4">
        <f t="shared" si="17"/>
        <v>11982.722784329349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>
        <v>197.45</v>
      </c>
      <c r="C60" s="25">
        <v>136</v>
      </c>
      <c r="D60" s="4">
        <f t="shared" si="9"/>
        <v>-72.550000000000011</v>
      </c>
      <c r="E60" s="4">
        <f t="shared" si="10"/>
        <v>-73</v>
      </c>
      <c r="F60" s="4">
        <f t="shared" si="11"/>
        <v>0.74999999999998102</v>
      </c>
      <c r="G60" s="4">
        <f t="shared" si="12"/>
        <v>41.461544667809456</v>
      </c>
      <c r="H60" s="4">
        <f t="shared" si="13"/>
        <v>-129.52582875148585</v>
      </c>
      <c r="I60" s="4"/>
      <c r="J60" s="4"/>
      <c r="K60" s="4">
        <f t="shared" si="14"/>
        <v>-145.81921906890398</v>
      </c>
      <c r="L60" s="4">
        <f t="shared" si="15"/>
        <v>-133.29960174951685</v>
      </c>
      <c r="M60" s="4">
        <f t="shared" si="16"/>
        <v>21263.24464986501</v>
      </c>
      <c r="N60" s="4">
        <f t="shared" si="17"/>
        <v>17768.783826579798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9"/>
        <v xml:space="preserve"> </v>
      </c>
      <c r="E61" s="7" t="str">
        <f t="shared" si="10"/>
        <v xml:space="preserve"> </v>
      </c>
      <c r="F61" s="7" t="str">
        <f t="shared" si="11"/>
        <v xml:space="preserve"> </v>
      </c>
      <c r="G61" s="7" t="str">
        <f t="shared" si="12"/>
        <v xml:space="preserve"> </v>
      </c>
      <c r="H61" s="7" t="str">
        <f t="shared" si="13"/>
        <v xml:space="preserve"> </v>
      </c>
      <c r="I61" s="7"/>
      <c r="J61" s="7"/>
      <c r="K61" s="7" t="str">
        <f t="shared" si="14"/>
        <v xml:space="preserve"> </v>
      </c>
      <c r="L61" s="7" t="str">
        <f t="shared" si="15"/>
        <v xml:space="preserve"> </v>
      </c>
      <c r="M61" s="7" t="str">
        <f t="shared" si="16"/>
        <v xml:space="preserve"> </v>
      </c>
      <c r="N61" s="7" t="str">
        <f t="shared" si="1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2"/>
  </sheetPr>
  <dimension ref="A1:W62"/>
  <sheetViews>
    <sheetView topLeftCell="A76" zoomScale="55" zoomScaleNormal="55" workbookViewId="0">
      <selection activeCell="Z66" sqref="Z66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70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8"/>
      <c r="H2" s="28"/>
      <c r="I2" s="107" t="s">
        <v>23</v>
      </c>
      <c r="J2" s="10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97.505065094028481</v>
      </c>
      <c r="J4" s="17">
        <f>(J12+J38)/2</f>
        <v>-1.8060911005878246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19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176</v>
      </c>
      <c r="C12" s="25">
        <v>34</v>
      </c>
      <c r="D12" s="4">
        <f>IF(B12,B12-$C$4," ")</f>
        <v>-94</v>
      </c>
      <c r="E12" s="4">
        <f>IF(B12,INT(D12)," ")</f>
        <v>-94</v>
      </c>
      <c r="F12" s="4">
        <f>IF(B12,((D12-E12)/60*100)," ")</f>
        <v>0</v>
      </c>
      <c r="G12" s="4">
        <f>IF(B12,C12*COS(PI()/180*(E12+F12))," ")</f>
        <v>-2.3717201073002614</v>
      </c>
      <c r="H12" s="4">
        <f>IF(B12,(C12*SIN(PI()/180*(E12+F12)))," ")</f>
        <v>-33.917177708834025</v>
      </c>
      <c r="I12" s="4">
        <f>SUM(G12:G30)/D6</f>
        <v>77.768860719148833</v>
      </c>
      <c r="J12" s="4">
        <f>SUM(H12:H30)/D6</f>
        <v>-27.004945971152029</v>
      </c>
      <c r="K12" s="4">
        <f>IF(B12,SUM(G12,-$I$12)," ")</f>
        <v>-80.140580826449096</v>
      </c>
      <c r="L12" s="4">
        <f>IF(B12,SUM(H12,-$J$12)," ")</f>
        <v>-6.9122317376819957</v>
      </c>
      <c r="M12" s="4">
        <f>IF(B12,POWER(K12,2)," ")</f>
        <v>6422.5126952006203</v>
      </c>
      <c r="N12" s="4">
        <f>IF(B12,POWER(L12,2)," ")</f>
        <v>47.778947595418259</v>
      </c>
      <c r="O12" s="4">
        <f>D6-1</f>
        <v>18</v>
      </c>
      <c r="P12" s="4">
        <f>SUM(M12:M35)</f>
        <v>23486.746834797497</v>
      </c>
      <c r="Q12" s="4">
        <f>SUM(N12:N35)</f>
        <v>3145.2598804775362</v>
      </c>
      <c r="R12" s="4">
        <f>PRODUCT(P12,1/$O$12)</f>
        <v>1304.8192685998608</v>
      </c>
      <c r="S12" s="4">
        <f>PRODUCT(Q12,1/$O$12)</f>
        <v>174.73666002652979</v>
      </c>
      <c r="T12" s="4">
        <f>SQRT(R12)</f>
        <v>36.122282162120669</v>
      </c>
      <c r="U12" s="4">
        <f>SQRT(S12)</f>
        <v>13.218799492636606</v>
      </c>
      <c r="V12" s="4">
        <f>PRODUCT(T12:U12)</f>
        <v>477.49320511751699</v>
      </c>
      <c r="W12" s="10">
        <f>SQRT(V12)</f>
        <v>21.851617906176124</v>
      </c>
    </row>
    <row r="13" spans="1:23">
      <c r="A13" s="3">
        <v>2</v>
      </c>
      <c r="B13" s="25">
        <v>182.05</v>
      </c>
      <c r="C13" s="25">
        <v>26</v>
      </c>
      <c r="D13" s="4">
        <f t="shared" ref="D13:D29" si="0">IF(B13,B13-$C$4," ")</f>
        <v>-87.949999999999989</v>
      </c>
      <c r="E13" s="4">
        <f t="shared" ref="E13:E29" si="1">IF(B13,INT(D13)," ")</f>
        <v>-88</v>
      </c>
      <c r="F13" s="4">
        <f t="shared" ref="F13:F29" si="2">IF(B13,((D13-E13)/60*100)," ")</f>
        <v>8.3333333333352286E-2</v>
      </c>
      <c r="G13" s="4">
        <f t="shared" ref="G13:G29" si="3">IF(B13,C13*COS(PI()/180*(E13+F13))," ")</f>
        <v>0.94517837216400491</v>
      </c>
      <c r="H13" s="4">
        <f t="shared" ref="H13:H29" si="4">IF(B13,(C13*SIN(PI()/180*(E13+F13)))," ")</f>
        <v>-25.98281427876498</v>
      </c>
      <c r="I13" s="4"/>
      <c r="J13" s="4"/>
      <c r="K13" s="4">
        <f t="shared" ref="K13:K28" si="5">IF(B13,SUM(G13,-$I$12)," ")</f>
        <v>-76.823682346984825</v>
      </c>
      <c r="L13" s="4">
        <f t="shared" ref="L13:L28" si="6">IF(B13,SUM(H13,-$J$12)," ")</f>
        <v>1.0221316923870489</v>
      </c>
      <c r="M13" s="4">
        <f t="shared" ref="M13:M28" si="7">IF(B13,POWER(K13,2)," ")</f>
        <v>5901.8781693504279</v>
      </c>
      <c r="N13" s="4">
        <f t="shared" ref="N13:N28" si="8">IF(B13,POWER(L13,2)," ")</f>
        <v>1.0447531965820127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242.45</v>
      </c>
      <c r="C14" s="25">
        <v>92</v>
      </c>
      <c r="D14" s="4">
        <f t="shared" si="0"/>
        <v>-27.550000000000011</v>
      </c>
      <c r="E14" s="4">
        <f t="shared" si="1"/>
        <v>-28</v>
      </c>
      <c r="F14" s="4">
        <f t="shared" si="2"/>
        <v>0.74999999999998102</v>
      </c>
      <c r="G14" s="4">
        <f t="shared" si="3"/>
        <v>81.789577016687744</v>
      </c>
      <c r="H14" s="4">
        <f t="shared" si="4"/>
        <v>-42.124400190760049</v>
      </c>
      <c r="I14" s="4"/>
      <c r="J14" s="4"/>
      <c r="K14" s="4">
        <f t="shared" si="5"/>
        <v>4.020716297538911</v>
      </c>
      <c r="L14" s="4">
        <f t="shared" si="6"/>
        <v>-15.11945421960802</v>
      </c>
      <c r="M14" s="4">
        <f t="shared" si="7"/>
        <v>16.16615954529501</v>
      </c>
      <c r="N14" s="4">
        <f t="shared" si="8"/>
        <v>228.59789589882277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245.2</v>
      </c>
      <c r="C15" s="25">
        <v>56</v>
      </c>
      <c r="D15" s="4">
        <f t="shared" si="0"/>
        <v>-24.800000000000011</v>
      </c>
      <c r="E15" s="4">
        <f t="shared" si="1"/>
        <v>-25</v>
      </c>
      <c r="F15" s="4">
        <f t="shared" si="2"/>
        <v>0.33333333333331439</v>
      </c>
      <c r="G15" s="4">
        <f t="shared" si="3"/>
        <v>50.890063222519593</v>
      </c>
      <c r="H15" s="4">
        <f t="shared" si="4"/>
        <v>-23.370953450981819</v>
      </c>
      <c r="I15" s="4"/>
      <c r="J15" s="4"/>
      <c r="K15" s="4">
        <f t="shared" si="5"/>
        <v>-26.87879749662924</v>
      </c>
      <c r="L15" s="4">
        <f t="shared" si="6"/>
        <v>3.6339925201702101</v>
      </c>
      <c r="M15" s="4">
        <f t="shared" si="7"/>
        <v>722.46975486480233</v>
      </c>
      <c r="N15" s="4">
        <f t="shared" si="8"/>
        <v>13.205901636653035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245.2</v>
      </c>
      <c r="C16" s="25">
        <v>112</v>
      </c>
      <c r="D16" s="4">
        <f t="shared" si="0"/>
        <v>-24.800000000000011</v>
      </c>
      <c r="E16" s="4">
        <f t="shared" si="1"/>
        <v>-25</v>
      </c>
      <c r="F16" s="4">
        <f t="shared" si="2"/>
        <v>0.33333333333331439</v>
      </c>
      <c r="G16" s="4">
        <f t="shared" si="3"/>
        <v>101.78012644503919</v>
      </c>
      <c r="H16" s="4">
        <f t="shared" si="4"/>
        <v>-46.741906901963638</v>
      </c>
      <c r="I16" s="4"/>
      <c r="J16" s="4"/>
      <c r="K16" s="4">
        <f t="shared" si="5"/>
        <v>24.011265725890354</v>
      </c>
      <c r="L16" s="4">
        <f t="shared" si="6"/>
        <v>-19.736960930811609</v>
      </c>
      <c r="M16" s="4">
        <f t="shared" si="7"/>
        <v>576.54088175931679</v>
      </c>
      <c r="N16" s="4">
        <f t="shared" si="8"/>
        <v>389.54762678438385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245.25</v>
      </c>
      <c r="C17" s="25">
        <v>64</v>
      </c>
      <c r="D17" s="4">
        <f t="shared" si="0"/>
        <v>-24.75</v>
      </c>
      <c r="E17" s="4">
        <f t="shared" si="1"/>
        <v>-25</v>
      </c>
      <c r="F17" s="4">
        <f t="shared" si="2"/>
        <v>0.41666666666666669</v>
      </c>
      <c r="G17" s="4">
        <f t="shared" si="3"/>
        <v>58.198858352088649</v>
      </c>
      <c r="H17" s="4">
        <f t="shared" si="4"/>
        <v>-26.625042469703615</v>
      </c>
      <c r="I17" s="4"/>
      <c r="J17" s="4"/>
      <c r="K17" s="4">
        <f t="shared" si="5"/>
        <v>-19.570002367060184</v>
      </c>
      <c r="L17" s="4">
        <f t="shared" si="6"/>
        <v>0.379903501448414</v>
      </c>
      <c r="M17" s="4">
        <f t="shared" si="7"/>
        <v>382.9849926467412</v>
      </c>
      <c r="N17" s="4">
        <f t="shared" si="8"/>
        <v>0.14432667041276509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246.45</v>
      </c>
      <c r="C18" s="25">
        <v>102</v>
      </c>
      <c r="D18" s="4">
        <f t="shared" si="0"/>
        <v>-23.550000000000011</v>
      </c>
      <c r="E18" s="4">
        <f t="shared" si="1"/>
        <v>-24</v>
      </c>
      <c r="F18" s="4">
        <f t="shared" si="2"/>
        <v>0.74999999999998102</v>
      </c>
      <c r="G18" s="4">
        <f t="shared" si="3"/>
        <v>93.716703435187611</v>
      </c>
      <c r="H18" s="4">
        <f t="shared" si="4"/>
        <v>-40.263873351195286</v>
      </c>
      <c r="I18" s="4"/>
      <c r="J18" s="4"/>
      <c r="K18" s="4">
        <f t="shared" si="5"/>
        <v>15.947842716038778</v>
      </c>
      <c r="L18" s="4">
        <f t="shared" si="6"/>
        <v>-13.258927380043257</v>
      </c>
      <c r="M18" s="4">
        <f t="shared" si="7"/>
        <v>254.33368729551111</v>
      </c>
      <c r="N18" s="4">
        <f t="shared" si="8"/>
        <v>175.79915526926075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246.5</v>
      </c>
      <c r="C19" s="25">
        <v>60</v>
      </c>
      <c r="D19" s="4">
        <f t="shared" si="0"/>
        <v>-23.5</v>
      </c>
      <c r="E19" s="4">
        <f t="shared" si="1"/>
        <v>-24</v>
      </c>
      <c r="F19" s="4">
        <f t="shared" si="2"/>
        <v>0.83333333333333337</v>
      </c>
      <c r="G19" s="4">
        <f t="shared" si="3"/>
        <v>55.161862188485344</v>
      </c>
      <c r="H19" s="4">
        <f t="shared" si="4"/>
        <v>-23.604426701331906</v>
      </c>
      <c r="I19" s="4"/>
      <c r="J19" s="4"/>
      <c r="K19" s="4">
        <f t="shared" si="5"/>
        <v>-22.606998530663489</v>
      </c>
      <c r="L19" s="4">
        <f t="shared" si="6"/>
        <v>3.4005192698201228</v>
      </c>
      <c r="M19" s="4">
        <f t="shared" si="7"/>
        <v>511.07638256542117</v>
      </c>
      <c r="N19" s="4">
        <f t="shared" si="8"/>
        <v>11.563531304417982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247.15</v>
      </c>
      <c r="C20" s="25">
        <v>92</v>
      </c>
      <c r="D20" s="4">
        <f t="shared" si="0"/>
        <v>-22.849999999999994</v>
      </c>
      <c r="E20" s="4">
        <f t="shared" si="1"/>
        <v>-23</v>
      </c>
      <c r="F20" s="4">
        <f t="shared" si="2"/>
        <v>0.25000000000000944</v>
      </c>
      <c r="G20" s="4">
        <f t="shared" si="3"/>
        <v>84.842489393681575</v>
      </c>
      <c r="H20" s="4">
        <f t="shared" si="4"/>
        <v>-35.577408470587478</v>
      </c>
      <c r="I20" s="4"/>
      <c r="J20" s="4"/>
      <c r="K20" s="4">
        <f t="shared" si="5"/>
        <v>7.0736286745327419</v>
      </c>
      <c r="L20" s="4">
        <f t="shared" si="6"/>
        <v>-8.5724624994354492</v>
      </c>
      <c r="M20" s="4">
        <f t="shared" si="7"/>
        <v>50.036222625171838</v>
      </c>
      <c r="N20" s="4">
        <f t="shared" si="8"/>
        <v>73.487113304227066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248.05</v>
      </c>
      <c r="C21" s="25">
        <v>64</v>
      </c>
      <c r="D21" s="4">
        <f t="shared" si="0"/>
        <v>-21.949999999999989</v>
      </c>
      <c r="E21" s="4">
        <f t="shared" si="1"/>
        <v>-22</v>
      </c>
      <c r="F21" s="4">
        <f t="shared" si="2"/>
        <v>8.3333333333352286E-2</v>
      </c>
      <c r="G21" s="4">
        <f t="shared" si="3"/>
        <v>59.374573881449585</v>
      </c>
      <c r="H21" s="4">
        <f t="shared" si="4"/>
        <v>-23.888490458718493</v>
      </c>
      <c r="I21" s="4"/>
      <c r="J21" s="4"/>
      <c r="K21" s="4">
        <f t="shared" si="5"/>
        <v>-18.394286837699248</v>
      </c>
      <c r="L21" s="4">
        <f t="shared" si="6"/>
        <v>3.1164555124335358</v>
      </c>
      <c r="M21" s="4">
        <f t="shared" si="7"/>
        <v>338.34978826755582</v>
      </c>
      <c r="N21" s="4">
        <f t="shared" si="8"/>
        <v>9.7122949609773723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250.5</v>
      </c>
      <c r="C22" s="25">
        <v>106</v>
      </c>
      <c r="D22" s="4">
        <f t="shared" si="0"/>
        <v>-19.5</v>
      </c>
      <c r="E22" s="4">
        <f t="shared" si="1"/>
        <v>-20</v>
      </c>
      <c r="F22" s="4">
        <f t="shared" si="2"/>
        <v>0.83333333333333337</v>
      </c>
      <c r="G22" s="4">
        <f t="shared" si="3"/>
        <v>100.12415895036609</v>
      </c>
      <c r="H22" s="4">
        <f t="shared" si="4"/>
        <v>-34.801620572637475</v>
      </c>
      <c r="I22" s="4"/>
      <c r="J22" s="4"/>
      <c r="K22" s="4">
        <f t="shared" si="5"/>
        <v>22.355298231217262</v>
      </c>
      <c r="L22" s="4">
        <f t="shared" si="6"/>
        <v>-7.7966746014854458</v>
      </c>
      <c r="M22" s="4">
        <f t="shared" si="7"/>
        <v>499.75935900666565</v>
      </c>
      <c r="N22" s="4">
        <f t="shared" si="8"/>
        <v>60.788134841448233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256.5</v>
      </c>
      <c r="C23" s="25">
        <v>108</v>
      </c>
      <c r="D23" s="4">
        <f t="shared" si="0"/>
        <v>-13.5</v>
      </c>
      <c r="E23" s="4">
        <f t="shared" si="1"/>
        <v>-14</v>
      </c>
      <c r="F23" s="4">
        <f>IF(B23,((D23-E23)/60*100)," ")</f>
        <v>0.83333333333333337</v>
      </c>
      <c r="G23" s="4">
        <f t="shared" si="3"/>
        <v>105.16085142366646</v>
      </c>
      <c r="H23" s="4">
        <f t="shared" si="4"/>
        <v>-24.600718035243375</v>
      </c>
      <c r="I23" s="4"/>
      <c r="J23" s="4"/>
      <c r="K23" s="4">
        <f t="shared" si="5"/>
        <v>27.391990704517625</v>
      </c>
      <c r="L23" s="4">
        <f t="shared" si="6"/>
        <v>2.4042279359086542</v>
      </c>
      <c r="M23" s="4">
        <f t="shared" si="7"/>
        <v>750.32115475638</v>
      </c>
      <c r="N23" s="4">
        <f t="shared" si="8"/>
        <v>5.7803119678035877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257.5</v>
      </c>
      <c r="C24" s="25">
        <v>82</v>
      </c>
      <c r="D24" s="4">
        <f t="shared" si="0"/>
        <v>-12.5</v>
      </c>
      <c r="E24" s="4">
        <f t="shared" si="1"/>
        <v>-13</v>
      </c>
      <c r="F24" s="4">
        <f t="shared" si="2"/>
        <v>0.83333333333333337</v>
      </c>
      <c r="G24" s="4">
        <f t="shared" si="3"/>
        <v>80.1581711574797</v>
      </c>
      <c r="H24" s="4">
        <f t="shared" si="4"/>
        <v>-17.282002103002657</v>
      </c>
      <c r="I24" s="4"/>
      <c r="J24" s="4"/>
      <c r="K24" s="4">
        <f t="shared" si="5"/>
        <v>2.3893104383308668</v>
      </c>
      <c r="L24" s="4">
        <f t="shared" si="6"/>
        <v>9.7229438681493718</v>
      </c>
      <c r="M24" s="4">
        <f t="shared" si="7"/>
        <v>5.7088043707168383</v>
      </c>
      <c r="N24" s="4">
        <f t="shared" si="8"/>
        <v>94.535637463183463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257.5</v>
      </c>
      <c r="C25" s="25">
        <v>100</v>
      </c>
      <c r="D25" s="4">
        <f t="shared" si="0"/>
        <v>-12.5</v>
      </c>
      <c r="E25" s="4">
        <f t="shared" si="1"/>
        <v>-13</v>
      </c>
      <c r="F25" s="4">
        <f t="shared" si="2"/>
        <v>0.83333333333333337</v>
      </c>
      <c r="G25" s="4">
        <f t="shared" si="3"/>
        <v>97.753867265219156</v>
      </c>
      <c r="H25" s="4">
        <f t="shared" si="4"/>
        <v>-21.075612320734948</v>
      </c>
      <c r="I25" s="4"/>
      <c r="J25" s="4"/>
      <c r="K25" s="4">
        <f t="shared" si="5"/>
        <v>19.985006546070323</v>
      </c>
      <c r="L25" s="4">
        <f t="shared" si="6"/>
        <v>5.9293336504170817</v>
      </c>
      <c r="M25" s="4">
        <f t="shared" si="7"/>
        <v>399.40048664647367</v>
      </c>
      <c r="N25" s="4">
        <f t="shared" si="8"/>
        <v>35.156997537968358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260.2</v>
      </c>
      <c r="C26" s="25">
        <v>102</v>
      </c>
      <c r="D26" s="4">
        <f t="shared" si="0"/>
        <v>-9.8000000000000114</v>
      </c>
      <c r="E26" s="4">
        <f t="shared" si="1"/>
        <v>-10</v>
      </c>
      <c r="F26" s="4">
        <f t="shared" si="2"/>
        <v>0.33333333333331439</v>
      </c>
      <c r="G26" s="4">
        <f t="shared" si="3"/>
        <v>100.55173519268287</v>
      </c>
      <c r="H26" s="4">
        <f t="shared" si="4"/>
        <v>-17.127420989179296</v>
      </c>
      <c r="I26" s="4"/>
      <c r="J26" s="4"/>
      <c r="K26" s="4">
        <f t="shared" si="5"/>
        <v>22.782874473534036</v>
      </c>
      <c r="L26" s="4">
        <f t="shared" si="6"/>
        <v>9.8775249819727335</v>
      </c>
      <c r="M26" s="4">
        <f t="shared" si="7"/>
        <v>519.05936927680875</v>
      </c>
      <c r="N26" s="4">
        <f t="shared" si="8"/>
        <v>97.565499769495446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261.55</v>
      </c>
      <c r="C27" s="25">
        <v>112</v>
      </c>
      <c r="D27" s="4">
        <f t="shared" si="0"/>
        <v>-8.4499999999999886</v>
      </c>
      <c r="E27" s="4">
        <f t="shared" si="1"/>
        <v>-9</v>
      </c>
      <c r="F27" s="4">
        <f t="shared" si="2"/>
        <v>0.91666666666668561</v>
      </c>
      <c r="G27" s="4">
        <f t="shared" si="3"/>
        <v>110.88723546174857</v>
      </c>
      <c r="H27" s="4">
        <f t="shared" si="4"/>
        <v>-15.748682854471628</v>
      </c>
      <c r="I27" s="4"/>
      <c r="J27" s="4"/>
      <c r="K27" s="4">
        <f t="shared" si="5"/>
        <v>33.118374742599741</v>
      </c>
      <c r="L27" s="4">
        <f t="shared" si="6"/>
        <v>11.256263116680401</v>
      </c>
      <c r="M27" s="4">
        <f t="shared" si="7"/>
        <v>1096.8267455912685</v>
      </c>
      <c r="N27" s="4">
        <f t="shared" si="8"/>
        <v>126.70345935193957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264.10000000000002</v>
      </c>
      <c r="C28" s="25">
        <v>104</v>
      </c>
      <c r="D28" s="4">
        <f t="shared" si="0"/>
        <v>-5.8999999999999773</v>
      </c>
      <c r="E28" s="4">
        <f t="shared" si="1"/>
        <v>-6</v>
      </c>
      <c r="F28" s="4">
        <f t="shared" si="2"/>
        <v>0.16666666666670457</v>
      </c>
      <c r="G28" s="4">
        <f t="shared" si="3"/>
        <v>103.46146182278744</v>
      </c>
      <c r="H28" s="4">
        <f t="shared" si="4"/>
        <v>-10.570048131011328</v>
      </c>
      <c r="I28" s="4"/>
      <c r="J28" s="4"/>
      <c r="K28" s="4">
        <f t="shared" si="5"/>
        <v>25.692601103638609</v>
      </c>
      <c r="L28" s="4">
        <f t="shared" si="6"/>
        <v>16.4348978401407</v>
      </c>
      <c r="M28" s="4">
        <f t="shared" si="7"/>
        <v>660.10975147069189</v>
      </c>
      <c r="N28" s="4">
        <f t="shared" si="8"/>
        <v>270.10586701586141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271</v>
      </c>
      <c r="C29" s="25">
        <v>140</v>
      </c>
      <c r="D29" s="4">
        <f t="shared" si="0"/>
        <v>1</v>
      </c>
      <c r="E29" s="4">
        <f t="shared" si="1"/>
        <v>1</v>
      </c>
      <c r="F29" s="4">
        <f t="shared" si="2"/>
        <v>0</v>
      </c>
      <c r="G29" s="4">
        <f t="shared" si="3"/>
        <v>139.97867732189476</v>
      </c>
      <c r="H29" s="4">
        <f t="shared" si="4"/>
        <v>2.4433369012196917</v>
      </c>
      <c r="I29" s="4"/>
      <c r="J29" s="4"/>
      <c r="K29" s="4">
        <f>IF(B29,SUM(G29,-$I$12)," ")</f>
        <v>62.209816602745931</v>
      </c>
      <c r="L29" s="4">
        <f>IF(B29,SUM(H29,-$J$12)," ")</f>
        <v>29.44828287237172</v>
      </c>
      <c r="M29" s="4">
        <f>IF(B29,POWER(K29,2)," ")</f>
        <v>3870.0612817472834</v>
      </c>
      <c r="N29" s="4">
        <f>IF(B29,POWER(L29,2)," ")</f>
        <v>867.20136413122168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226.35</v>
      </c>
      <c r="C30" s="25">
        <v>76</v>
      </c>
      <c r="D30" s="4">
        <f t="shared" ref="D30" si="9">IF(B30,B30-$C$4," ")</f>
        <v>-43.650000000000006</v>
      </c>
      <c r="E30" s="4">
        <f t="shared" ref="E30" si="10">IF(B30,INT(D30)," ")</f>
        <v>-44</v>
      </c>
      <c r="F30" s="4">
        <f t="shared" ref="F30" si="11">IF(B30,((D30-E30)/60*100)," ")</f>
        <v>0.58333333333332382</v>
      </c>
      <c r="G30" s="4">
        <f t="shared" ref="G30" si="12">IF(B30,C30*COS(PI()/180*(E30+F30))," ")</f>
        <v>55.204482867979465</v>
      </c>
      <c r="H30" s="4">
        <f t="shared" ref="H30" si="13">IF(B30,(C30*SIN(PI()/180*(E30+F30)))," ")</f>
        <v>-52.234711363986321</v>
      </c>
      <c r="I30" s="4"/>
      <c r="J30" s="4"/>
      <c r="K30" s="4">
        <f>IF(B30,SUM(G30,-$I$12)," ")</f>
        <v>-22.564377851169368</v>
      </c>
      <c r="L30" s="4">
        <f>IF(B30,SUM(H30,-$J$12)," ")</f>
        <v>-25.229765392834292</v>
      </c>
      <c r="M30" s="4">
        <f>IF(B30,POWER(K30,2)," ")</f>
        <v>509.15114781034276</v>
      </c>
      <c r="N30" s="4">
        <f>IF(B30,POWER(L30,2)," ")</f>
        <v>636.54106177745894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D31" s="4" t="str">
        <f t="shared" ref="D31:D35" si="14">IF(B31,B31-$C$4," ")</f>
        <v xml:space="preserve"> </v>
      </c>
      <c r="E31" s="4" t="str">
        <f t="shared" ref="E31:E35" si="15">IF(B31,INT(D31)," ")</f>
        <v xml:space="preserve"> </v>
      </c>
      <c r="F31" s="4" t="str">
        <f t="shared" ref="F31:F35" si="16">IF(B31,((D31-E31)/60*100)," ")</f>
        <v xml:space="preserve"> </v>
      </c>
      <c r="G31" s="4" t="str">
        <f t="shared" ref="G31:G35" si="17">IF(B31,C31*COS(PI()/180*(E31+F31))," ")</f>
        <v xml:space="preserve"> </v>
      </c>
      <c r="H31" s="4" t="str">
        <f t="shared" ref="H31:H35" si="18">IF(B31,(C31*SIN(PI()/180*(E31+F31)))," ")</f>
        <v xml:space="preserve"> </v>
      </c>
      <c r="I31" s="4"/>
      <c r="J31" s="4"/>
      <c r="K31" s="4" t="str">
        <f t="shared" ref="K31:K35" si="19">IF(B31,SUM(G31,-$I$12)," ")</f>
        <v xml:space="preserve"> </v>
      </c>
      <c r="L31" s="4" t="str">
        <f t="shared" ref="L31:L35" si="20">IF(B31,SUM(H31,-$J$12)," ")</f>
        <v xml:space="preserve"> </v>
      </c>
      <c r="M31" s="4" t="str">
        <f t="shared" ref="M31:M35" si="21">IF(B31,POWER(K31,2)," ")</f>
        <v xml:space="preserve"> </v>
      </c>
      <c r="N31" s="4" t="str">
        <f t="shared" ref="N31:N35" si="22">IF(B31,POWER(L31,2)," ")</f>
        <v xml:space="preserve"> 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D32" s="4" t="str">
        <f t="shared" si="14"/>
        <v xml:space="preserve"> </v>
      </c>
      <c r="E32" s="4" t="str">
        <f t="shared" si="15"/>
        <v xml:space="preserve"> </v>
      </c>
      <c r="F32" s="4" t="str">
        <f t="shared" si="16"/>
        <v xml:space="preserve"> </v>
      </c>
      <c r="G32" s="4" t="str">
        <f t="shared" si="17"/>
        <v xml:space="preserve"> </v>
      </c>
      <c r="H32" s="4" t="str">
        <f t="shared" si="18"/>
        <v xml:space="preserve"> </v>
      </c>
      <c r="I32" s="4"/>
      <c r="J32" s="4"/>
      <c r="K32" s="4" t="str">
        <f t="shared" si="19"/>
        <v xml:space="preserve"> </v>
      </c>
      <c r="L32" s="4" t="str">
        <f t="shared" si="20"/>
        <v xml:space="preserve"> </v>
      </c>
      <c r="M32" s="4" t="str">
        <f t="shared" si="21"/>
        <v xml:space="preserve"> </v>
      </c>
      <c r="N32" s="4" t="str">
        <f t="shared" si="22"/>
        <v xml:space="preserve"> 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D33" s="4" t="str">
        <f t="shared" si="14"/>
        <v xml:space="preserve"> </v>
      </c>
      <c r="E33" s="4" t="str">
        <f t="shared" si="15"/>
        <v xml:space="preserve"> </v>
      </c>
      <c r="F33" s="4" t="str">
        <f t="shared" si="16"/>
        <v xml:space="preserve"> </v>
      </c>
      <c r="G33" s="4" t="str">
        <f t="shared" si="17"/>
        <v xml:space="preserve"> </v>
      </c>
      <c r="H33" s="4" t="str">
        <f t="shared" si="18"/>
        <v xml:space="preserve"> </v>
      </c>
      <c r="I33" s="4"/>
      <c r="J33" s="4"/>
      <c r="K33" s="4" t="str">
        <f t="shared" si="19"/>
        <v xml:space="preserve"> </v>
      </c>
      <c r="L33" s="4" t="str">
        <f t="shared" si="20"/>
        <v xml:space="preserve"> </v>
      </c>
      <c r="M33" s="4" t="str">
        <f t="shared" si="21"/>
        <v xml:space="preserve"> </v>
      </c>
      <c r="N33" s="4" t="str">
        <f t="shared" si="22"/>
        <v xml:space="preserve"> 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D34" s="4" t="str">
        <f t="shared" si="14"/>
        <v xml:space="preserve"> </v>
      </c>
      <c r="E34" s="4" t="str">
        <f t="shared" si="15"/>
        <v xml:space="preserve"> </v>
      </c>
      <c r="F34" s="4" t="str">
        <f t="shared" si="16"/>
        <v xml:space="preserve"> </v>
      </c>
      <c r="G34" s="4" t="str">
        <f t="shared" si="17"/>
        <v xml:space="preserve"> </v>
      </c>
      <c r="H34" s="4" t="str">
        <f t="shared" si="18"/>
        <v xml:space="preserve"> </v>
      </c>
      <c r="I34" s="4"/>
      <c r="J34" s="4"/>
      <c r="K34" s="4" t="str">
        <f t="shared" si="19"/>
        <v xml:space="preserve"> </v>
      </c>
      <c r="L34" s="4" t="str">
        <f t="shared" si="20"/>
        <v xml:space="preserve"> </v>
      </c>
      <c r="M34" s="4" t="str">
        <f t="shared" si="21"/>
        <v xml:space="preserve"> </v>
      </c>
      <c r="N34" s="4" t="str">
        <f t="shared" si="22"/>
        <v xml:space="preserve"> 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D35" s="4" t="str">
        <f t="shared" si="14"/>
        <v xml:space="preserve"> </v>
      </c>
      <c r="E35" s="4" t="str">
        <f t="shared" si="15"/>
        <v xml:space="preserve"> </v>
      </c>
      <c r="F35" s="4" t="str">
        <f t="shared" si="16"/>
        <v xml:space="preserve"> </v>
      </c>
      <c r="G35" s="4" t="str">
        <f t="shared" si="17"/>
        <v xml:space="preserve"> </v>
      </c>
      <c r="H35" s="4" t="str">
        <f t="shared" si="18"/>
        <v xml:space="preserve"> </v>
      </c>
      <c r="I35" s="7"/>
      <c r="J35" s="7"/>
      <c r="K35" s="4" t="str">
        <f t="shared" si="19"/>
        <v xml:space="preserve"> </v>
      </c>
      <c r="L35" s="4" t="str">
        <f t="shared" si="20"/>
        <v xml:space="preserve"> </v>
      </c>
      <c r="M35" s="4" t="str">
        <f t="shared" si="21"/>
        <v xml:space="preserve"> </v>
      </c>
      <c r="N35" s="4" t="str">
        <f t="shared" si="22"/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274.45</v>
      </c>
      <c r="C38" s="25">
        <v>124</v>
      </c>
      <c r="D38" s="4">
        <f t="shared" ref="D38" si="23">IF(B38,B38-$C$4," ")</f>
        <v>4.4499999999999886</v>
      </c>
      <c r="E38" s="4">
        <f t="shared" ref="E38" si="24">IF(B38,INT(D38)," ")</f>
        <v>4</v>
      </c>
      <c r="F38" s="4">
        <f t="shared" ref="F38" si="25">IF(B38,((D38-E38)/60*100)," ")</f>
        <v>0.74999999999998102</v>
      </c>
      <c r="G38" s="4">
        <f t="shared" ref="G38" si="26">IF(B38,C38*COS(PI()/180*(E38+F38))," ")</f>
        <v>123.57412230972241</v>
      </c>
      <c r="H38" s="4">
        <f t="shared" ref="H38" si="27">IF(B38,(C38*SIN(PI()/180*(E38+F38)))," ")</f>
        <v>10.268217731513298</v>
      </c>
      <c r="I38" s="4">
        <f>SUM(G38:G61)/E6</f>
        <v>117.24126946890811</v>
      </c>
      <c r="J38" s="4">
        <f>SUM(H38:H61)/E6</f>
        <v>23.39276376997638</v>
      </c>
      <c r="K38" s="4">
        <f t="shared" ref="K38" si="28">IF(B38,SUM(G38,-$I$12)," ")</f>
        <v>45.805261590573579</v>
      </c>
      <c r="L38" s="4">
        <f t="shared" ref="L38" si="29">IF(B38,SUM(H38,-$J$12)," ")</f>
        <v>37.273163702665329</v>
      </c>
      <c r="M38" s="4">
        <f t="shared" ref="M38" si="30">IF(B38,POWER(K38,2)," ")</f>
        <v>2098.1219893808752</v>
      </c>
      <c r="N38" s="4">
        <f t="shared" ref="N38" si="31">IF(B38,POWER(L38,2)," ")</f>
        <v>1389.2887324056883</v>
      </c>
      <c r="O38" s="4">
        <f>E6-1</f>
        <v>23</v>
      </c>
      <c r="P38" s="4">
        <f>SUM(M38:M61)</f>
        <v>67044.978287621256</v>
      </c>
      <c r="Q38" s="4">
        <f>SUM(N38:N61)</f>
        <v>64409.34658070009</v>
      </c>
      <c r="R38" s="4">
        <f>PRODUCT(P38,1/$O$38)</f>
        <v>2914.9990559835328</v>
      </c>
      <c r="S38" s="4">
        <f>PRODUCT(Q38,1/$O$38)</f>
        <v>2800.4063730739167</v>
      </c>
      <c r="T38" s="4">
        <f>SQRT(R38)</f>
        <v>53.990731204379266</v>
      </c>
      <c r="U38" s="4">
        <f>SQRT(S38)</f>
        <v>52.918865946597123</v>
      </c>
      <c r="V38" s="4">
        <f>PRODUCT(T38:U38)</f>
        <v>2857.1282669633047</v>
      </c>
      <c r="W38" s="10">
        <f>SQRT(V38)</f>
        <v>53.452111903677903</v>
      </c>
    </row>
    <row r="39" spans="1:23">
      <c r="A39" s="3">
        <v>2</v>
      </c>
      <c r="B39" s="25">
        <v>275.39999999999998</v>
      </c>
      <c r="C39" s="25">
        <v>116</v>
      </c>
      <c r="D39" s="4">
        <f t="shared" ref="D39:D55" si="32">IF(B39,B39-$C$4," ")</f>
        <v>5.3999999999999773</v>
      </c>
      <c r="E39" s="4">
        <f t="shared" ref="E39:E55" si="33">IF(B39,INT(D39)," ")</f>
        <v>5</v>
      </c>
      <c r="F39" s="4">
        <f t="shared" ref="F39:F55" si="34">IF(B39,((D39-E39)/60*100)," ")</f>
        <v>0.66666666666662877</v>
      </c>
      <c r="G39" s="4">
        <f t="shared" ref="G39:G55" si="35">IF(B39,C39*COS(PI()/180*(E39+F39))," ")</f>
        <v>115.43312928031635</v>
      </c>
      <c r="H39" s="4">
        <f t="shared" ref="H39:H55" si="36">IF(B39,(C39*SIN(PI()/180*(E39+F39)))," ")</f>
        <v>11.453936640027722</v>
      </c>
      <c r="I39" s="4"/>
      <c r="J39" s="4"/>
      <c r="K39" s="4">
        <f t="shared" ref="K39:K61" si="37">IF(B39,SUM(G39,-$I$12)," ")</f>
        <v>37.664268561167518</v>
      </c>
      <c r="L39" s="4">
        <f t="shared" ref="L39:L61" si="38">IF(B39,SUM(H39,-$J$12)," ")</f>
        <v>38.458882611179753</v>
      </c>
      <c r="M39" s="4">
        <f t="shared" ref="M39:M61" si="39">IF(B39,POWER(K39,2)," ")</f>
        <v>1418.5971262477519</v>
      </c>
      <c r="N39" s="4">
        <f t="shared" ref="N39:N61" si="40">IF(B39,POWER(L39,2)," ")</f>
        <v>1479.0856517005043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276.14999999999998</v>
      </c>
      <c r="C40" s="25">
        <v>128</v>
      </c>
      <c r="D40" s="4">
        <f t="shared" si="32"/>
        <v>6.1499999999999773</v>
      </c>
      <c r="E40" s="4">
        <f t="shared" si="33"/>
        <v>6</v>
      </c>
      <c r="F40" s="4">
        <f t="shared" si="34"/>
        <v>0.24999999999996211</v>
      </c>
      <c r="G40" s="4">
        <f t="shared" si="35"/>
        <v>127.23921129245691</v>
      </c>
      <c r="H40" s="4">
        <f t="shared" si="36"/>
        <v>13.93495998105138</v>
      </c>
      <c r="I40" s="4"/>
      <c r="J40" s="4"/>
      <c r="K40" s="4">
        <f t="shared" si="37"/>
        <v>49.470350573308082</v>
      </c>
      <c r="L40" s="4">
        <f t="shared" si="38"/>
        <v>40.939905952203411</v>
      </c>
      <c r="M40" s="4">
        <f t="shared" si="39"/>
        <v>2447.3155858460032</v>
      </c>
      <c r="N40" s="4">
        <f t="shared" si="40"/>
        <v>1676.0758993752602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277.2</v>
      </c>
      <c r="C41" s="25">
        <v>140</v>
      </c>
      <c r="D41" s="4">
        <f t="shared" si="32"/>
        <v>7.1999999999999886</v>
      </c>
      <c r="E41" s="4">
        <f t="shared" si="33"/>
        <v>7</v>
      </c>
      <c r="F41" s="4">
        <f t="shared" si="34"/>
        <v>0.33333333333331439</v>
      </c>
      <c r="G41" s="4">
        <f t="shared" si="35"/>
        <v>138.85484921577665</v>
      </c>
      <c r="H41" s="4">
        <f t="shared" si="36"/>
        <v>17.869830700483195</v>
      </c>
      <c r="I41" s="4"/>
      <c r="J41" s="4"/>
      <c r="K41" s="4">
        <f t="shared" si="37"/>
        <v>61.08598849662782</v>
      </c>
      <c r="L41" s="4">
        <f t="shared" si="38"/>
        <v>44.874776671635225</v>
      </c>
      <c r="M41" s="4">
        <f t="shared" si="39"/>
        <v>3731.4979906101462</v>
      </c>
      <c r="N41" s="4">
        <f t="shared" si="40"/>
        <v>2013.7455813291369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277.3</v>
      </c>
      <c r="C42" s="25">
        <v>128</v>
      </c>
      <c r="D42" s="4">
        <f t="shared" si="32"/>
        <v>7.3000000000000114</v>
      </c>
      <c r="E42" s="4">
        <f t="shared" si="33"/>
        <v>7</v>
      </c>
      <c r="F42" s="4">
        <f t="shared" si="34"/>
        <v>0.50000000000001887</v>
      </c>
      <c r="G42" s="4">
        <f t="shared" si="35"/>
        <v>126.90494225584773</v>
      </c>
      <c r="H42" s="4">
        <f t="shared" si="36"/>
        <v>16.707352604166644</v>
      </c>
      <c r="I42" s="4"/>
      <c r="J42" s="4"/>
      <c r="K42" s="4">
        <f t="shared" si="37"/>
        <v>49.136081536698896</v>
      </c>
      <c r="L42" s="4">
        <f t="shared" si="38"/>
        <v>43.71229857531867</v>
      </c>
      <c r="M42" s="4">
        <f t="shared" si="39"/>
        <v>2414.3545087811221</v>
      </c>
      <c r="N42" s="4">
        <f t="shared" si="40"/>
        <v>1910.7650467378066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277.45</v>
      </c>
      <c r="C43" s="25">
        <v>130</v>
      </c>
      <c r="D43" s="4">
        <f t="shared" si="32"/>
        <v>7.4499999999999886</v>
      </c>
      <c r="E43" s="4">
        <f t="shared" si="33"/>
        <v>7</v>
      </c>
      <c r="F43" s="4">
        <f t="shared" si="34"/>
        <v>0.74999999999998102</v>
      </c>
      <c r="G43" s="4">
        <f t="shared" si="35"/>
        <v>128.81256666029469</v>
      </c>
      <c r="H43" s="4">
        <f t="shared" si="36"/>
        <v>17.530620935583947</v>
      </c>
      <c r="I43" s="4"/>
      <c r="J43" s="4"/>
      <c r="K43" s="4">
        <f t="shared" si="37"/>
        <v>51.043705941145859</v>
      </c>
      <c r="L43" s="4">
        <f t="shared" si="38"/>
        <v>44.53556690673598</v>
      </c>
      <c r="M43" s="4">
        <f t="shared" si="39"/>
        <v>2605.4599162061691</v>
      </c>
      <c r="N43" s="4">
        <f t="shared" si="40"/>
        <v>1983.4167197043569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277.5</v>
      </c>
      <c r="C44" s="25">
        <v>96</v>
      </c>
      <c r="D44" s="4">
        <f t="shared" si="32"/>
        <v>7.5</v>
      </c>
      <c r="E44" s="4">
        <f t="shared" si="33"/>
        <v>7</v>
      </c>
      <c r="F44" s="4">
        <f t="shared" si="34"/>
        <v>0.83333333333333337</v>
      </c>
      <c r="G44" s="4">
        <f t="shared" si="35"/>
        <v>95.104196802264582</v>
      </c>
      <c r="H44" s="4">
        <f t="shared" si="36"/>
        <v>13.084026543695469</v>
      </c>
      <c r="I44" s="4"/>
      <c r="J44" s="4"/>
      <c r="K44" s="4">
        <f t="shared" si="37"/>
        <v>17.335336083115749</v>
      </c>
      <c r="L44" s="4">
        <f t="shared" si="38"/>
        <v>40.088972514847498</v>
      </c>
      <c r="M44" s="4">
        <f t="shared" si="39"/>
        <v>300.51387711457488</v>
      </c>
      <c r="N44" s="4">
        <f t="shared" si="40"/>
        <v>1607.1257172961982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>
        <v>278.14999999999998</v>
      </c>
      <c r="C45" s="25">
        <v>180</v>
      </c>
      <c r="D45" s="4">
        <f t="shared" si="32"/>
        <v>8.1499999999999773</v>
      </c>
      <c r="E45" s="4">
        <f t="shared" si="33"/>
        <v>8</v>
      </c>
      <c r="F45" s="4">
        <f t="shared" si="34"/>
        <v>0.24999999999996211</v>
      </c>
      <c r="G45" s="4">
        <f t="shared" si="35"/>
        <v>178.13724962754065</v>
      </c>
      <c r="H45" s="4">
        <f t="shared" si="36"/>
        <v>25.828671958412158</v>
      </c>
      <c r="I45" s="4"/>
      <c r="J45" s="4"/>
      <c r="K45" s="4">
        <f t="shared" si="37"/>
        <v>100.36838890839182</v>
      </c>
      <c r="L45" s="4">
        <f t="shared" si="38"/>
        <v>52.833617929564184</v>
      </c>
      <c r="M45" s="4">
        <f t="shared" si="39"/>
        <v>10073.813492066191</v>
      </c>
      <c r="N45" s="4">
        <f t="shared" si="40"/>
        <v>2791.391183527166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280.14999999999998</v>
      </c>
      <c r="C46" s="25">
        <v>138</v>
      </c>
      <c r="D46" s="4">
        <f t="shared" si="32"/>
        <v>10.149999999999977</v>
      </c>
      <c r="E46" s="4">
        <f t="shared" si="33"/>
        <v>10</v>
      </c>
      <c r="F46" s="4">
        <f t="shared" si="34"/>
        <v>0.24999999999996211</v>
      </c>
      <c r="G46" s="4">
        <f t="shared" si="35"/>
        <v>135.79761627518815</v>
      </c>
      <c r="H46" s="4">
        <f t="shared" si="36"/>
        <v>24.556209275390078</v>
      </c>
      <c r="I46" s="4"/>
      <c r="J46" s="4"/>
      <c r="K46" s="4">
        <f t="shared" si="37"/>
        <v>58.028755556039314</v>
      </c>
      <c r="L46" s="4">
        <f t="shared" si="38"/>
        <v>51.561155246542107</v>
      </c>
      <c r="M46" s="4">
        <f t="shared" si="39"/>
        <v>3367.3364713825636</v>
      </c>
      <c r="N46" s="4">
        <f t="shared" si="40"/>
        <v>2658.5527303580166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282</v>
      </c>
      <c r="C47" s="25">
        <v>128</v>
      </c>
      <c r="D47" s="4">
        <f t="shared" si="32"/>
        <v>12</v>
      </c>
      <c r="E47" s="4">
        <f t="shared" si="33"/>
        <v>12</v>
      </c>
      <c r="F47" s="4">
        <f t="shared" si="34"/>
        <v>0</v>
      </c>
      <c r="G47" s="4">
        <f t="shared" si="35"/>
        <v>125.20289289392713</v>
      </c>
      <c r="H47" s="4">
        <f t="shared" si="36"/>
        <v>26.612696424673196</v>
      </c>
      <c r="I47" s="4"/>
      <c r="J47" s="4"/>
      <c r="K47" s="4">
        <f t="shared" si="37"/>
        <v>47.434032174778295</v>
      </c>
      <c r="L47" s="4">
        <f t="shared" si="38"/>
        <v>53.617642395825229</v>
      </c>
      <c r="M47" s="4">
        <f t="shared" si="39"/>
        <v>2249.9874083579025</v>
      </c>
      <c r="N47" s="4">
        <f t="shared" si="40"/>
        <v>2874.8515760865948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282.55</v>
      </c>
      <c r="C48" s="25">
        <v>126</v>
      </c>
      <c r="D48" s="4">
        <f t="shared" si="32"/>
        <v>12.550000000000011</v>
      </c>
      <c r="E48" s="4">
        <f t="shared" si="33"/>
        <v>12</v>
      </c>
      <c r="F48" s="4">
        <f t="shared" si="34"/>
        <v>0.91666666666668561</v>
      </c>
      <c r="G48" s="4">
        <f t="shared" si="35"/>
        <v>122.81172272782997</v>
      </c>
      <c r="H48" s="4">
        <f t="shared" si="36"/>
        <v>28.165240290517822</v>
      </c>
      <c r="I48" s="4"/>
      <c r="J48" s="4"/>
      <c r="K48" s="4">
        <f t="shared" si="37"/>
        <v>45.042862008681141</v>
      </c>
      <c r="L48" s="4">
        <f t="shared" si="38"/>
        <v>55.170186261669855</v>
      </c>
      <c r="M48" s="4">
        <f t="shared" si="39"/>
        <v>2028.8594179330908</v>
      </c>
      <c r="N48" s="4">
        <f t="shared" si="40"/>
        <v>3043.749452147345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>
        <v>284.3</v>
      </c>
      <c r="C49" s="25">
        <v>68</v>
      </c>
      <c r="D49" s="4">
        <f t="shared" si="32"/>
        <v>14.300000000000011</v>
      </c>
      <c r="E49" s="4">
        <f t="shared" si="33"/>
        <v>14</v>
      </c>
      <c r="F49" s="4">
        <f t="shared" si="34"/>
        <v>0.50000000000001887</v>
      </c>
      <c r="G49" s="4">
        <f t="shared" si="35"/>
        <v>65.83403954571132</v>
      </c>
      <c r="H49" s="4">
        <f t="shared" si="36"/>
        <v>17.025840275702041</v>
      </c>
      <c r="I49" s="4"/>
      <c r="J49" s="4"/>
      <c r="K49" s="4">
        <f t="shared" si="37"/>
        <v>-11.934821173437513</v>
      </c>
      <c r="L49" s="4">
        <f t="shared" si="38"/>
        <v>44.03078624685407</v>
      </c>
      <c r="M49" s="4">
        <f t="shared" si="39"/>
        <v>142.43995644193237</v>
      </c>
      <c r="N49" s="4">
        <f t="shared" si="40"/>
        <v>1938.7101375161535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>
        <v>287.55</v>
      </c>
      <c r="C50" s="25">
        <v>42</v>
      </c>
      <c r="D50" s="4">
        <f t="shared" si="32"/>
        <v>17.550000000000011</v>
      </c>
      <c r="E50" s="4">
        <f t="shared" si="33"/>
        <v>17</v>
      </c>
      <c r="F50" s="4">
        <f t="shared" si="34"/>
        <v>0.91666666666668561</v>
      </c>
      <c r="G50" s="4">
        <f t="shared" si="35"/>
        <v>39.96320820259713</v>
      </c>
      <c r="H50" s="4">
        <f t="shared" si="36"/>
        <v>12.920603320119117</v>
      </c>
      <c r="I50" s="4"/>
      <c r="J50" s="4"/>
      <c r="K50" s="4">
        <f t="shared" si="37"/>
        <v>-37.805652516551703</v>
      </c>
      <c r="L50" s="4">
        <f t="shared" si="38"/>
        <v>39.925549291271146</v>
      </c>
      <c r="M50" s="4">
        <f t="shared" si="39"/>
        <v>1429.2673622022521</v>
      </c>
      <c r="N50" s="4">
        <f t="shared" si="40"/>
        <v>1594.0494862097219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>
        <v>289.35000000000002</v>
      </c>
      <c r="C51" s="25">
        <v>102</v>
      </c>
      <c r="D51" s="4">
        <f t="shared" si="32"/>
        <v>19.350000000000023</v>
      </c>
      <c r="E51" s="4">
        <f t="shared" si="33"/>
        <v>19</v>
      </c>
      <c r="F51" s="4">
        <f t="shared" si="34"/>
        <v>0.58333333333337123</v>
      </c>
      <c r="G51" s="4">
        <f t="shared" si="35"/>
        <v>96.099809167230816</v>
      </c>
      <c r="H51" s="4">
        <f t="shared" si="36"/>
        <v>34.18810726000811</v>
      </c>
      <c r="I51" s="4"/>
      <c r="J51" s="4"/>
      <c r="K51" s="4">
        <f t="shared" si="37"/>
        <v>18.330948448081983</v>
      </c>
      <c r="L51" s="4">
        <f t="shared" si="38"/>
        <v>61.193053231160135</v>
      </c>
      <c r="M51" s="4">
        <f t="shared" si="39"/>
        <v>336.02367100623928</v>
      </c>
      <c r="N51" s="4">
        <f t="shared" si="40"/>
        <v>3744.5897637515977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>
        <v>292.5</v>
      </c>
      <c r="C52" s="25">
        <v>102</v>
      </c>
      <c r="D52" s="4">
        <f t="shared" si="32"/>
        <v>22.5</v>
      </c>
      <c r="E52" s="4">
        <f t="shared" si="33"/>
        <v>22</v>
      </c>
      <c r="F52" s="4">
        <f t="shared" si="34"/>
        <v>0.83333333333333337</v>
      </c>
      <c r="G52" s="4">
        <f t="shared" si="35"/>
        <v>94.007029912628425</v>
      </c>
      <c r="H52" s="4">
        <f t="shared" si="36"/>
        <v>39.58128758651219</v>
      </c>
      <c r="I52" s="4"/>
      <c r="J52" s="4"/>
      <c r="K52" s="4">
        <f t="shared" si="37"/>
        <v>16.238169193479592</v>
      </c>
      <c r="L52" s="4">
        <f t="shared" si="38"/>
        <v>66.586233557664215</v>
      </c>
      <c r="M52" s="4">
        <f t="shared" si="39"/>
        <v>263.6781387560697</v>
      </c>
      <c r="N52" s="4">
        <f t="shared" si="40"/>
        <v>4433.7264993958079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>
        <v>293.55</v>
      </c>
      <c r="C53" s="25">
        <v>40</v>
      </c>
      <c r="D53" s="4">
        <f t="shared" si="32"/>
        <v>23.550000000000011</v>
      </c>
      <c r="E53" s="4">
        <f t="shared" si="33"/>
        <v>23</v>
      </c>
      <c r="F53" s="4">
        <f t="shared" si="34"/>
        <v>0.91666666666668561</v>
      </c>
      <c r="G53" s="4">
        <f t="shared" si="35"/>
        <v>36.56544262581032</v>
      </c>
      <c r="H53" s="4">
        <f t="shared" si="36"/>
        <v>16.216300613227837</v>
      </c>
      <c r="I53" s="4"/>
      <c r="J53" s="4"/>
      <c r="K53" s="4">
        <f t="shared" si="37"/>
        <v>-41.203418093338513</v>
      </c>
      <c r="L53" s="4">
        <f t="shared" si="38"/>
        <v>43.22124658437987</v>
      </c>
      <c r="M53" s="4">
        <f t="shared" si="39"/>
        <v>1697.7216625744556</v>
      </c>
      <c r="N53" s="4">
        <f t="shared" si="40"/>
        <v>1868.0761563077685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>
        <v>300.39999999999998</v>
      </c>
      <c r="C54" s="25">
        <v>100</v>
      </c>
      <c r="D54" s="4">
        <f t="shared" si="32"/>
        <v>30.399999999999977</v>
      </c>
      <c r="E54" s="4">
        <f t="shared" si="33"/>
        <v>30</v>
      </c>
      <c r="F54" s="4">
        <f t="shared" si="34"/>
        <v>0.66666666666662877</v>
      </c>
      <c r="G54" s="4">
        <f t="shared" si="35"/>
        <v>86.014914789536562</v>
      </c>
      <c r="H54" s="4">
        <f t="shared" si="36"/>
        <v>51.004258976567471</v>
      </c>
      <c r="I54" s="4"/>
      <c r="J54" s="4"/>
      <c r="K54" s="4">
        <f t="shared" si="37"/>
        <v>8.2460540703877285</v>
      </c>
      <c r="L54" s="4">
        <f t="shared" si="38"/>
        <v>78.009204947719496</v>
      </c>
      <c r="M54" s="4">
        <f t="shared" si="39"/>
        <v>67.997407731758031</v>
      </c>
      <c r="N54" s="4">
        <f t="shared" si="40"/>
        <v>6085.4360565753041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>
        <v>301</v>
      </c>
      <c r="C55" s="25">
        <v>104</v>
      </c>
      <c r="D55" s="4">
        <f t="shared" si="32"/>
        <v>31</v>
      </c>
      <c r="E55" s="4">
        <f t="shared" si="33"/>
        <v>31</v>
      </c>
      <c r="F55" s="4">
        <f t="shared" si="34"/>
        <v>0</v>
      </c>
      <c r="G55" s="4">
        <f t="shared" si="35"/>
        <v>89.145399273019677</v>
      </c>
      <c r="H55" s="4">
        <f t="shared" si="36"/>
        <v>53.563959790645633</v>
      </c>
      <c r="I55" s="4"/>
      <c r="J55" s="4"/>
      <c r="K55" s="4">
        <f t="shared" si="37"/>
        <v>11.376538553870844</v>
      </c>
      <c r="L55" s="4">
        <f t="shared" si="38"/>
        <v>80.568905761797666</v>
      </c>
      <c r="M55" s="4">
        <f t="shared" si="39"/>
        <v>129.42562946770971</v>
      </c>
      <c r="N55" s="4">
        <f t="shared" si="40"/>
        <v>6491.3485756534328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>
        <v>273.55</v>
      </c>
      <c r="C56" s="25">
        <v>148</v>
      </c>
      <c r="D56" s="4">
        <f t="shared" ref="D56:D61" si="41">IF(B56,B56-$C$4," ")</f>
        <v>3.5500000000000114</v>
      </c>
      <c r="E56" s="4">
        <f t="shared" ref="E56:E61" si="42">IF(B56,INT(D56)," ")</f>
        <v>3</v>
      </c>
      <c r="F56" s="4">
        <f t="shared" ref="F56:F61" si="43">IF(B56,((D56-E56)/60*100)," ")</f>
        <v>0.91666666666668561</v>
      </c>
      <c r="G56" s="4">
        <f t="shared" ref="G56:G61" si="44">IF(B56,C56*COS(PI()/180*(E56+F56))," ")</f>
        <v>147.6543388634133</v>
      </c>
      <c r="H56" s="4">
        <f t="shared" ref="H56:H61" si="45">IF(B56,(C56*SIN(PI()/180*(E56+F56)))," ")</f>
        <v>10.109214351685141</v>
      </c>
      <c r="I56" s="4"/>
      <c r="J56" s="4"/>
      <c r="K56" s="4">
        <f t="shared" si="37"/>
        <v>69.885478144264468</v>
      </c>
      <c r="L56" s="4">
        <f t="shared" si="38"/>
        <v>37.114160322837172</v>
      </c>
      <c r="M56" s="4">
        <f t="shared" si="39"/>
        <v>4883.9800554524663</v>
      </c>
      <c r="N56" s="4">
        <f t="shared" si="40"/>
        <v>1377.4608964692611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>
        <v>275.10000000000002</v>
      </c>
      <c r="C57" s="25">
        <v>164</v>
      </c>
      <c r="D57" s="4">
        <f t="shared" si="41"/>
        <v>5.1000000000000227</v>
      </c>
      <c r="E57" s="4">
        <f t="shared" si="42"/>
        <v>5</v>
      </c>
      <c r="F57" s="4">
        <f t="shared" si="43"/>
        <v>0.16666666666670457</v>
      </c>
      <c r="G57" s="4">
        <f t="shared" si="44"/>
        <v>163.33366110796442</v>
      </c>
      <c r="H57" s="4">
        <f t="shared" si="45"/>
        <v>14.768721984946188</v>
      </c>
      <c r="I57" s="4"/>
      <c r="J57" s="4"/>
      <c r="K57" s="4">
        <f t="shared" si="37"/>
        <v>85.564800388815584</v>
      </c>
      <c r="L57" s="4">
        <f t="shared" si="38"/>
        <v>41.773667956098215</v>
      </c>
      <c r="M57" s="4">
        <f t="shared" si="39"/>
        <v>7321.3350655778559</v>
      </c>
      <c r="N57" s="4">
        <f t="shared" si="40"/>
        <v>1745.0393345063469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>
        <v>275.39999999999998</v>
      </c>
      <c r="C58" s="25">
        <v>146</v>
      </c>
      <c r="D58" s="4">
        <f t="shared" si="41"/>
        <v>5.3999999999999773</v>
      </c>
      <c r="E58" s="4">
        <f t="shared" si="42"/>
        <v>5</v>
      </c>
      <c r="F58" s="4">
        <f t="shared" si="43"/>
        <v>0.66666666666662877</v>
      </c>
      <c r="G58" s="4">
        <f t="shared" si="44"/>
        <v>145.28652478384646</v>
      </c>
      <c r="H58" s="4">
        <f t="shared" si="45"/>
        <v>14.416161633138339</v>
      </c>
      <c r="I58" s="4"/>
      <c r="J58" s="4"/>
      <c r="K58" s="4">
        <f t="shared" si="37"/>
        <v>67.517664064697627</v>
      </c>
      <c r="L58" s="4">
        <f t="shared" si="38"/>
        <v>41.42110760429037</v>
      </c>
      <c r="M58" s="4">
        <f t="shared" si="39"/>
        <v>4558.6349607533612</v>
      </c>
      <c r="N58" s="4">
        <f t="shared" si="40"/>
        <v>1715.7081551662015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>
        <v>279.3</v>
      </c>
      <c r="C59" s="25">
        <v>160</v>
      </c>
      <c r="D59" s="4">
        <f t="shared" si="41"/>
        <v>9.3000000000000114</v>
      </c>
      <c r="E59" s="4">
        <f t="shared" si="42"/>
        <v>9</v>
      </c>
      <c r="F59" s="4">
        <f t="shared" si="43"/>
        <v>0.50000000000001887</v>
      </c>
      <c r="G59" s="4">
        <f t="shared" si="44"/>
        <v>157.80569624595702</v>
      </c>
      <c r="H59" s="4">
        <f t="shared" si="45"/>
        <v>26.407616937708479</v>
      </c>
      <c r="I59" s="4"/>
      <c r="J59" s="4"/>
      <c r="K59" s="4">
        <f t="shared" si="37"/>
        <v>80.03683552680819</v>
      </c>
      <c r="L59" s="4">
        <f t="shared" si="38"/>
        <v>53.412562908860508</v>
      </c>
      <c r="M59" s="4">
        <f t="shared" si="39"/>
        <v>6405.8950411453452</v>
      </c>
      <c r="N59" s="4">
        <f t="shared" si="40"/>
        <v>2852.9018764929815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>
        <v>281.35000000000002</v>
      </c>
      <c r="C60" s="25">
        <v>144</v>
      </c>
      <c r="D60" s="4">
        <f t="shared" si="41"/>
        <v>11.350000000000023</v>
      </c>
      <c r="E60" s="4">
        <f t="shared" si="42"/>
        <v>11</v>
      </c>
      <c r="F60" s="4">
        <f t="shared" si="43"/>
        <v>0.58333333333337123</v>
      </c>
      <c r="G60" s="4">
        <f t="shared" si="44"/>
        <v>141.06725270653803</v>
      </c>
      <c r="H60" s="4">
        <f t="shared" si="45"/>
        <v>28.914187068457199</v>
      </c>
      <c r="I60" s="4"/>
      <c r="J60" s="4"/>
      <c r="K60" s="4">
        <f t="shared" si="37"/>
        <v>63.298391987389195</v>
      </c>
      <c r="L60" s="4">
        <f t="shared" si="38"/>
        <v>55.919133039609228</v>
      </c>
      <c r="M60" s="4">
        <f t="shared" si="39"/>
        <v>4006.6864281891767</v>
      </c>
      <c r="N60" s="4">
        <f t="shared" si="40"/>
        <v>3126.9494399015166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>
        <v>285.14999999999998</v>
      </c>
      <c r="C61" s="26">
        <v>138</v>
      </c>
      <c r="D61" s="4">
        <f t="shared" si="41"/>
        <v>15.149999999999977</v>
      </c>
      <c r="E61" s="4">
        <f t="shared" si="42"/>
        <v>15</v>
      </c>
      <c r="F61" s="4">
        <f t="shared" si="43"/>
        <v>0.24999999999996211</v>
      </c>
      <c r="G61" s="4">
        <f t="shared" si="44"/>
        <v>133.14065068837621</v>
      </c>
      <c r="H61" s="4">
        <f t="shared" si="45"/>
        <v>36.298307595200434</v>
      </c>
      <c r="I61" s="7"/>
      <c r="J61" s="7"/>
      <c r="K61" s="4">
        <f t="shared" si="37"/>
        <v>55.371789969227379</v>
      </c>
      <c r="L61" s="4">
        <f t="shared" si="38"/>
        <v>63.303253566352467</v>
      </c>
      <c r="M61" s="4">
        <f t="shared" si="39"/>
        <v>3066.03512439623</v>
      </c>
      <c r="N61" s="4">
        <f t="shared" si="40"/>
        <v>4007.3019120859162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sortState ref="B12:C35">
    <sortCondition ref="B12:B35"/>
  </sortState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C000"/>
  </sheetPr>
  <dimension ref="A1:AW113"/>
  <sheetViews>
    <sheetView topLeftCell="L70" zoomScale="55" zoomScaleNormal="55" workbookViewId="0">
      <selection activeCell="J5" sqref="J5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  <col min="27" max="27" width="10.5703125" bestFit="1" customWidth="1"/>
    <col min="28" max="28" width="11.5703125" bestFit="1" customWidth="1"/>
    <col min="29" max="29" width="16" bestFit="1" customWidth="1"/>
    <col min="30" max="30" width="18.5703125" bestFit="1" customWidth="1"/>
    <col min="31" max="31" width="8.28515625" bestFit="1" customWidth="1"/>
    <col min="32" max="32" width="15.140625" bestFit="1" customWidth="1"/>
    <col min="33" max="33" width="12.5703125" bestFit="1" customWidth="1"/>
    <col min="42" max="43" width="12.5703125" bestFit="1" customWidth="1"/>
  </cols>
  <sheetData>
    <row r="1" spans="1:49" ht="46.5" thickBot="1">
      <c r="B1" s="106" t="s">
        <v>71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49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8"/>
      <c r="H2" s="28"/>
      <c r="I2" s="107" t="s">
        <v>23</v>
      </c>
      <c r="J2" s="10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49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49" ht="18.75">
      <c r="B4" s="21" t="s">
        <v>47</v>
      </c>
      <c r="C4" s="21">
        <v>270</v>
      </c>
      <c r="D4" s="21"/>
      <c r="E4" s="21"/>
      <c r="F4" s="21"/>
      <c r="I4" s="16">
        <f>(I12+I38+I64+I90+AI12+AI38)/6</f>
        <v>85.121985949097919</v>
      </c>
      <c r="J4" s="17">
        <f>(J12+J38+J64+J90+AJ12+AJ38)/6</f>
        <v>-19.89176255702888</v>
      </c>
    </row>
    <row r="5" spans="1:49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 t="s">
        <v>81</v>
      </c>
      <c r="G5" s="22" t="s">
        <v>82</v>
      </c>
      <c r="I5" s="18" t="s">
        <v>36</v>
      </c>
      <c r="J5" s="19" t="s">
        <v>21</v>
      </c>
    </row>
    <row r="6" spans="1:49">
      <c r="B6" s="111"/>
      <c r="C6" s="22">
        <v>83</v>
      </c>
      <c r="D6" s="22">
        <v>23</v>
      </c>
      <c r="E6" s="22">
        <v>24</v>
      </c>
      <c r="F6" s="22">
        <v>20</v>
      </c>
      <c r="G6" s="22">
        <v>16</v>
      </c>
    </row>
    <row r="7" spans="1:49">
      <c r="D7" s="22" t="s">
        <v>93</v>
      </c>
      <c r="E7" s="22" t="s">
        <v>94</v>
      </c>
    </row>
    <row r="8" spans="1:49">
      <c r="D8" s="22">
        <v>16</v>
      </c>
      <c r="E8" s="22">
        <v>24</v>
      </c>
    </row>
    <row r="9" spans="1:49" ht="15.75" thickBot="1"/>
    <row r="10" spans="1:49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  <c r="AA10" s="112" t="s">
        <v>91</v>
      </c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4"/>
    </row>
    <row r="11" spans="1:49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  <c r="AA11" s="1" t="s">
        <v>2</v>
      </c>
      <c r="AB11" s="23" t="s">
        <v>0</v>
      </c>
      <c r="AC11" s="23" t="s">
        <v>1</v>
      </c>
      <c r="AD11" s="11" t="s">
        <v>51</v>
      </c>
      <c r="AE11" s="2" t="s">
        <v>4</v>
      </c>
      <c r="AF11" s="11" t="s">
        <v>5</v>
      </c>
      <c r="AG11" s="2" t="s">
        <v>3</v>
      </c>
      <c r="AH11" s="2" t="s">
        <v>21</v>
      </c>
      <c r="AI11" s="2" t="s">
        <v>6</v>
      </c>
      <c r="AJ11" s="2" t="s">
        <v>7</v>
      </c>
      <c r="AK11" s="2" t="s">
        <v>8</v>
      </c>
      <c r="AL11" s="2" t="s">
        <v>9</v>
      </c>
      <c r="AM11" s="2" t="s">
        <v>10</v>
      </c>
      <c r="AN11" s="2" t="s">
        <v>11</v>
      </c>
      <c r="AO11" s="2" t="s">
        <v>12</v>
      </c>
      <c r="AP11" s="2" t="s">
        <v>13</v>
      </c>
      <c r="AQ11" s="2" t="s">
        <v>14</v>
      </c>
      <c r="AR11" s="2" t="s">
        <v>15</v>
      </c>
      <c r="AS11" s="2" t="s">
        <v>16</v>
      </c>
      <c r="AT11" s="12" t="s">
        <v>17</v>
      </c>
      <c r="AU11" s="12" t="s">
        <v>18</v>
      </c>
      <c r="AV11" s="13" t="s">
        <v>19</v>
      </c>
      <c r="AW11" s="9" t="s">
        <v>22</v>
      </c>
    </row>
    <row r="12" spans="1:49">
      <c r="A12" s="3">
        <v>1</v>
      </c>
      <c r="B12" s="25">
        <v>251.5</v>
      </c>
      <c r="C12" s="25">
        <v>154</v>
      </c>
      <c r="D12" s="4">
        <f>IF(B12,B12-$C$4," ")</f>
        <v>-18.5</v>
      </c>
      <c r="E12" s="4">
        <f>IF(B12,INT(D12)," ")</f>
        <v>-19</v>
      </c>
      <c r="F12" s="4">
        <f>IF(B12,((D12-E12)/60*100)," ")</f>
        <v>0.83333333333333337</v>
      </c>
      <c r="G12" s="4">
        <f>IF(B12,C12*COS(PI()/180*(E12+F12))," ")</f>
        <v>146.32365437516461</v>
      </c>
      <c r="H12" s="4">
        <f>IF(B12,(C12*SIN(PI()/180*(E12+F12)))," ")</f>
        <v>-48.014457929850401</v>
      </c>
      <c r="I12" s="4">
        <f>SUM(G12:G34)/D6</f>
        <v>170.78302582560718</v>
      </c>
      <c r="J12" s="4">
        <f>SUM(H12:H34)/D6</f>
        <v>-21.532868066959718</v>
      </c>
      <c r="K12" s="4">
        <f>IF(B12,SUM(G12,-$I$12)," ")</f>
        <v>-24.459371450442575</v>
      </c>
      <c r="L12" s="4">
        <f>IF(B12,SUM(H12,-$J$12)," ")</f>
        <v>-26.481589862890683</v>
      </c>
      <c r="M12" s="4">
        <f>IF(B12,POWER(K12,2)," ")</f>
        <v>598.26085175072535</v>
      </c>
      <c r="N12" s="4">
        <f>IF(B12,POWER(L12,2)," ")</f>
        <v>701.27460166635456</v>
      </c>
      <c r="O12" s="4">
        <f>D6-1</f>
        <v>22</v>
      </c>
      <c r="P12" s="4">
        <f>SUM(M12:M35)</f>
        <v>14410.637803755671</v>
      </c>
      <c r="Q12" s="4">
        <f>SUM(N12:N35)</f>
        <v>2823.7168974446536</v>
      </c>
      <c r="R12" s="4">
        <f>PRODUCT(P12,1/$O$12)</f>
        <v>655.02899107980329</v>
      </c>
      <c r="S12" s="4">
        <f>PRODUCT(Q12,1/$O$12)</f>
        <v>128.35076806566607</v>
      </c>
      <c r="T12" s="4">
        <f>SQRT(R12)</f>
        <v>25.593534165484126</v>
      </c>
      <c r="U12" s="4">
        <f>SQRT(S12)</f>
        <v>11.329199798117521</v>
      </c>
      <c r="V12" s="4">
        <f>PRODUCT(T12:U12)</f>
        <v>289.95426210071662</v>
      </c>
      <c r="W12" s="10">
        <f>SQRT(V12)</f>
        <v>17.028043402009423</v>
      </c>
      <c r="AA12" s="3">
        <v>1</v>
      </c>
      <c r="AB12" s="25">
        <v>183.55</v>
      </c>
      <c r="AC12" s="25">
        <v>122</v>
      </c>
      <c r="AD12" s="4">
        <f>IF(AB12,AB12-$C$4," ")</f>
        <v>-86.449999999999989</v>
      </c>
      <c r="AE12" s="4">
        <f>IF(AB12,INT(AD12)," ")</f>
        <v>-87</v>
      </c>
      <c r="AF12" s="4">
        <f>IF(AB12,((AD12-AE12)/60*100)," ")</f>
        <v>0.91666666666668561</v>
      </c>
      <c r="AG12" s="4">
        <f>IF(AB12,AC12*COS(PI()/180*(AE12+AF12))," ")</f>
        <v>8.3332712899026227</v>
      </c>
      <c r="AH12" s="4">
        <f>IF(AB12,(AC12*SIN(PI()/180*(AE12+AF12)))," ")</f>
        <v>-121.71506311713799</v>
      </c>
      <c r="AI12" s="4">
        <f>SUM(AG12:AG27)/D8</f>
        <v>36.772205408955536</v>
      </c>
      <c r="AJ12" s="4">
        <f>SUM(AH12:AH35)/D8</f>
        <v>-120.81213479025988</v>
      </c>
      <c r="AK12" s="4">
        <f>IF(AB12,SUM(AG12,-$I$12)," ")</f>
        <v>-162.44975453570456</v>
      </c>
      <c r="AL12" s="4">
        <f>IF(AB12,SUM(AH12,-$J$12)," ")</f>
        <v>-100.18219505017827</v>
      </c>
      <c r="AM12" s="4">
        <f>IF(AB12,POWER(AK12,2)," ")</f>
        <v>26389.922748710662</v>
      </c>
      <c r="AN12" s="4">
        <f>IF(AB12,POWER(AL12,2)," ")</f>
        <v>10036.472205071963</v>
      </c>
      <c r="AO12" s="4">
        <f>D8-1</f>
        <v>15</v>
      </c>
      <c r="AP12" s="4">
        <f>SUM(AM12:AM35)</f>
        <v>292132.70102224057</v>
      </c>
      <c r="AQ12" s="4">
        <f>SUM(AN12:AN35)</f>
        <v>158575.39156402968</v>
      </c>
      <c r="AR12" s="4">
        <f>PRODUCT(AP12,1/$O$12)</f>
        <v>13278.759137374571</v>
      </c>
      <c r="AS12" s="4">
        <f>PRODUCT(AQ12,1/$O$12)</f>
        <v>7207.9723438195306</v>
      </c>
      <c r="AT12" s="4">
        <f>SQRT(AR12)</f>
        <v>115.23349833001934</v>
      </c>
      <c r="AU12" s="4">
        <f>SQRT(AS12)</f>
        <v>84.899778231863067</v>
      </c>
      <c r="AV12" s="4">
        <f>PRODUCT(AT12:AU12)</f>
        <v>9783.2984531004058</v>
      </c>
      <c r="AW12" s="10">
        <f>SQRT(AV12)</f>
        <v>98.910557844450594</v>
      </c>
    </row>
    <row r="13" spans="1:49">
      <c r="A13" s="3">
        <v>2</v>
      </c>
      <c r="B13" s="25">
        <v>257</v>
      </c>
      <c r="C13" s="25">
        <v>144</v>
      </c>
      <c r="D13" s="4">
        <f t="shared" ref="D13:D35" si="0">IF(B13,B13-$C$4," ")</f>
        <v>-13</v>
      </c>
      <c r="E13" s="4">
        <f t="shared" ref="E13:E35" si="1">IF(B13,INT(D13)," ")</f>
        <v>-13</v>
      </c>
      <c r="F13" s="4">
        <f t="shared" ref="F13:F35" si="2">IF(B13,((D13-E13)/60*100)," ")</f>
        <v>0</v>
      </c>
      <c r="G13" s="4">
        <f t="shared" ref="G13:G35" si="3">IF(B13,C13*COS(PI()/180*(E13+F13))," ")</f>
        <v>140.30928932907386</v>
      </c>
      <c r="H13" s="4">
        <f t="shared" ref="H13:H35" si="4">IF(B13,(C13*SIN(PI()/180*(E13+F13)))," ")</f>
        <v>-32.392951825516562</v>
      </c>
      <c r="I13" s="4"/>
      <c r="J13" s="4"/>
      <c r="K13" s="4">
        <f t="shared" ref="K13:K35" si="5">IF(B13,SUM(G13,-$I$12)," ")</f>
        <v>-30.47373649653332</v>
      </c>
      <c r="L13" s="4">
        <f t="shared" ref="L13:L35" si="6">IF(B13,SUM(H13,-$J$12)," ")</f>
        <v>-10.860083758556843</v>
      </c>
      <c r="M13" s="4">
        <f t="shared" ref="M13:M35" si="7">IF(B13,POWER(K13,2)," ")</f>
        <v>928.64861606014688</v>
      </c>
      <c r="N13" s="4">
        <f t="shared" ref="N13:N34" si="8">IF(B13,POWER(L13,2)," ")</f>
        <v>117.94141924287014</v>
      </c>
      <c r="O13" s="4"/>
      <c r="P13" s="4"/>
      <c r="Q13" s="4"/>
      <c r="R13" s="4"/>
      <c r="S13" s="4"/>
      <c r="T13" s="4"/>
      <c r="U13" s="4"/>
      <c r="V13" s="4"/>
      <c r="W13" s="5"/>
      <c r="AA13" s="3">
        <v>2</v>
      </c>
      <c r="AB13" s="25">
        <v>185.2</v>
      </c>
      <c r="AC13" s="25">
        <v>114</v>
      </c>
      <c r="AD13" s="4">
        <f>IF(AB13,AB13-$C$4," ")</f>
        <v>-84.800000000000011</v>
      </c>
      <c r="AE13" s="4">
        <f>IF(AB13,INT(AD13)," ")</f>
        <v>-85</v>
      </c>
      <c r="AF13" s="4">
        <f>IF(AB13,((AD13-AE13)/60*100)," ")</f>
        <v>0.33333333333331439</v>
      </c>
      <c r="AG13" s="4">
        <f>IF(AB13,AC13*COS(PI()/180*(AE13+AF13))," ")</f>
        <v>10.596284145950674</v>
      </c>
      <c r="AH13" s="4">
        <f>IF(AB13,(AC13*SIN(PI()/180*(AE13+AF13)))," ")</f>
        <v>-113.5064701340777</v>
      </c>
      <c r="AI13" s="4"/>
      <c r="AJ13" s="4"/>
      <c r="AK13" s="4">
        <f t="shared" ref="AK13:AK35" si="9">IF(AB13,SUM(AG13,-$I$12)," ")</f>
        <v>-160.18674167965651</v>
      </c>
      <c r="AL13" s="4">
        <f t="shared" ref="AL13:AL35" si="10">IF(AB13,SUM(AH13,-$J$12)," ")</f>
        <v>-91.97360206711798</v>
      </c>
      <c r="AM13" s="4">
        <f t="shared" ref="AM13:AM35" si="11">IF(AB13,POWER(AK13,2)," ")</f>
        <v>25659.792209945004</v>
      </c>
      <c r="AN13" s="4">
        <f t="shared" ref="AN13:AN34" si="12">IF(AB13,POWER(AL13,2)," ")</f>
        <v>8459.1434772005687</v>
      </c>
      <c r="AO13" s="4"/>
      <c r="AP13" s="4"/>
      <c r="AQ13" s="4"/>
      <c r="AR13" s="4"/>
      <c r="AS13" s="4"/>
      <c r="AT13" s="4"/>
      <c r="AU13" s="4"/>
      <c r="AV13" s="4"/>
      <c r="AW13" s="5"/>
    </row>
    <row r="14" spans="1:49">
      <c r="A14" s="3">
        <v>3</v>
      </c>
      <c r="B14" s="25">
        <v>257</v>
      </c>
      <c r="C14" s="25">
        <v>180</v>
      </c>
      <c r="D14" s="4">
        <f t="shared" si="0"/>
        <v>-13</v>
      </c>
      <c r="E14" s="4">
        <f t="shared" si="1"/>
        <v>-13</v>
      </c>
      <c r="F14" s="4">
        <f t="shared" si="2"/>
        <v>0</v>
      </c>
      <c r="G14" s="4">
        <f t="shared" si="3"/>
        <v>175.38661166134236</v>
      </c>
      <c r="H14" s="4">
        <f t="shared" si="4"/>
        <v>-40.491189781895699</v>
      </c>
      <c r="I14" s="4"/>
      <c r="J14" s="4"/>
      <c r="K14" s="4">
        <f t="shared" si="5"/>
        <v>4.6035858357351742</v>
      </c>
      <c r="L14" s="4">
        <f t="shared" si="6"/>
        <v>-18.95832171493598</v>
      </c>
      <c r="M14" s="4">
        <f t="shared" si="7"/>
        <v>21.193002546981521</v>
      </c>
      <c r="N14" s="4">
        <f t="shared" si="8"/>
        <v>359.41796224701312</v>
      </c>
      <c r="O14" s="4"/>
      <c r="P14" s="4"/>
      <c r="Q14" s="4"/>
      <c r="R14" s="4"/>
      <c r="S14" s="4"/>
      <c r="T14" s="4"/>
      <c r="U14" s="4"/>
      <c r="V14" s="4"/>
      <c r="W14" s="5"/>
      <c r="AA14" s="3">
        <v>3</v>
      </c>
      <c r="AB14" s="25">
        <v>185</v>
      </c>
      <c r="AC14" s="25">
        <v>128</v>
      </c>
      <c r="AD14" s="4">
        <f>IF(AB14,AB14-$C$4," ")</f>
        <v>-85</v>
      </c>
      <c r="AE14" s="4">
        <f>IF(AB14,INT(AD14)," ")</f>
        <v>-85</v>
      </c>
      <c r="AF14" s="4">
        <f>IF(AB14,((AD14-AE14)/60*100)," ")</f>
        <v>0</v>
      </c>
      <c r="AG14" s="4">
        <f>IF(AB14,AC14*COS(PI()/180*(AE14+AF14))," ")</f>
        <v>11.155935071700242</v>
      </c>
      <c r="AH14" s="4">
        <f>IF(AB14,(AC14*SIN(PI()/180*(AE14+AF14)))," ")</f>
        <v>-127.51292135574343</v>
      </c>
      <c r="AI14" s="4"/>
      <c r="AJ14" s="4"/>
      <c r="AK14" s="4">
        <f t="shared" si="9"/>
        <v>-159.62709075390694</v>
      </c>
      <c r="AL14" s="4">
        <f t="shared" si="10"/>
        <v>-105.98005328878371</v>
      </c>
      <c r="AM14" s="4">
        <f t="shared" si="11"/>
        <v>25480.808102556042</v>
      </c>
      <c r="AN14" s="4">
        <f t="shared" si="12"/>
        <v>11231.771695093434</v>
      </c>
      <c r="AO14" s="4"/>
      <c r="AP14" s="4"/>
      <c r="AQ14" s="4"/>
      <c r="AR14" s="4"/>
      <c r="AS14" s="4"/>
      <c r="AT14" s="4"/>
      <c r="AU14" s="4"/>
      <c r="AV14" s="4"/>
      <c r="AW14" s="5"/>
    </row>
    <row r="15" spans="1:49">
      <c r="A15" s="3">
        <v>4</v>
      </c>
      <c r="B15" s="25">
        <v>258.10000000000002</v>
      </c>
      <c r="C15" s="25">
        <v>184</v>
      </c>
      <c r="D15" s="4">
        <f t="shared" si="0"/>
        <v>-11.899999999999977</v>
      </c>
      <c r="E15" s="4">
        <f t="shared" si="1"/>
        <v>-12</v>
      </c>
      <c r="F15" s="4">
        <f t="shared" si="2"/>
        <v>0.16666666666670457</v>
      </c>
      <c r="G15" s="4">
        <f t="shared" si="3"/>
        <v>180.08967839236422</v>
      </c>
      <c r="H15" s="4">
        <f t="shared" si="4"/>
        <v>-37.732051846339175</v>
      </c>
      <c r="I15" s="4"/>
      <c r="J15" s="4"/>
      <c r="K15" s="4">
        <f t="shared" si="5"/>
        <v>9.3066525667570374</v>
      </c>
      <c r="L15" s="4">
        <f t="shared" si="6"/>
        <v>-16.199183779379457</v>
      </c>
      <c r="M15" s="4">
        <f t="shared" si="7"/>
        <v>86.613781998325351</v>
      </c>
      <c r="N15" s="4">
        <f t="shared" si="8"/>
        <v>262.41355511811048</v>
      </c>
      <c r="O15" s="4"/>
      <c r="P15" s="4"/>
      <c r="Q15" s="4"/>
      <c r="R15" s="4"/>
      <c r="S15" s="4"/>
      <c r="T15" s="4"/>
      <c r="U15" s="4"/>
      <c r="V15" s="4"/>
      <c r="W15" s="5"/>
      <c r="AA15" s="3">
        <v>4</v>
      </c>
      <c r="AB15" s="25">
        <v>189.15</v>
      </c>
      <c r="AC15" s="25">
        <v>122</v>
      </c>
      <c r="AD15" s="4">
        <f>IF(AB15,AB15-$C$4," ")</f>
        <v>-80.849999999999994</v>
      </c>
      <c r="AE15" s="4">
        <f>IF(AB15,INT(AD15)," ")</f>
        <v>-81</v>
      </c>
      <c r="AF15" s="4">
        <f>IF(AB15,((AD15-AE15)/60*100)," ")</f>
        <v>0.25000000000000944</v>
      </c>
      <c r="AG15" s="4">
        <f>IF(AB15,AC15*COS(PI()/180*(AE15+AF15))," ")</f>
        <v>19.610593003666811</v>
      </c>
      <c r="AH15" s="4">
        <f>IF(AB15,(AC15*SIN(PI()/180*(AE15+AF15)))," ")</f>
        <v>-120.41355672034828</v>
      </c>
      <c r="AI15" s="4"/>
      <c r="AJ15" s="4"/>
      <c r="AK15" s="4">
        <f t="shared" si="9"/>
        <v>-151.17243282194036</v>
      </c>
      <c r="AL15" s="4">
        <f t="shared" si="10"/>
        <v>-98.88068865338856</v>
      </c>
      <c r="AM15" s="4">
        <f t="shared" si="11"/>
        <v>22853.10444530407</v>
      </c>
      <c r="AN15" s="4">
        <f t="shared" si="12"/>
        <v>9777.3905885683653</v>
      </c>
      <c r="AO15" s="4"/>
      <c r="AP15" s="4"/>
      <c r="AQ15" s="4"/>
      <c r="AR15" s="4"/>
      <c r="AS15" s="4"/>
      <c r="AT15" s="4"/>
      <c r="AU15" s="4"/>
      <c r="AV15" s="4"/>
      <c r="AW15" s="5"/>
    </row>
    <row r="16" spans="1:49">
      <c r="A16" s="3">
        <v>5</v>
      </c>
      <c r="B16" s="25">
        <v>259.5</v>
      </c>
      <c r="C16" s="25">
        <v>164</v>
      </c>
      <c r="D16" s="4">
        <f t="shared" si="0"/>
        <v>-10.5</v>
      </c>
      <c r="E16" s="4">
        <f t="shared" si="1"/>
        <v>-11</v>
      </c>
      <c r="F16" s="4">
        <f t="shared" si="2"/>
        <v>0.83333333333333337</v>
      </c>
      <c r="G16" s="4">
        <f t="shared" si="3"/>
        <v>161.42494828163646</v>
      </c>
      <c r="H16" s="4">
        <f t="shared" si="4"/>
        <v>-28.947989088553214</v>
      </c>
      <c r="I16" s="4"/>
      <c r="J16" s="4"/>
      <c r="K16" s="4">
        <f t="shared" si="5"/>
        <v>-9.3580775439707224</v>
      </c>
      <c r="L16" s="4">
        <f t="shared" si="6"/>
        <v>-7.415121021593496</v>
      </c>
      <c r="M16" s="4">
        <f t="shared" si="7"/>
        <v>87.573615318969104</v>
      </c>
      <c r="N16" s="4">
        <f t="shared" si="8"/>
        <v>54.984019764877772</v>
      </c>
      <c r="O16" s="4"/>
      <c r="P16" s="4"/>
      <c r="Q16" s="4"/>
      <c r="R16" s="4"/>
      <c r="S16" s="4"/>
      <c r="T16" s="4"/>
      <c r="U16" s="4"/>
      <c r="V16" s="4"/>
      <c r="W16" s="5"/>
      <c r="AA16" s="3">
        <v>5</v>
      </c>
      <c r="AB16" s="25">
        <v>192.5</v>
      </c>
      <c r="AC16" s="25">
        <v>112</v>
      </c>
      <c r="AD16" s="4">
        <f>IF(AB16,AB16-$C$4," ")</f>
        <v>-77.5</v>
      </c>
      <c r="AE16" s="4">
        <f>IF(AB16,INT(AD16)," ")</f>
        <v>-78</v>
      </c>
      <c r="AF16" s="4">
        <f>IF(AB16,((AD16-AE16)/60*100)," ")</f>
        <v>0.83333333333333337</v>
      </c>
      <c r="AG16" s="4">
        <f>IF(AB16,AC16*COS(PI()/180*(AE16+AF16))," ")</f>
        <v>24.876967247115569</v>
      </c>
      <c r="AH16" s="4">
        <f>IF(AB16,(AC16*SIN(PI()/180*(AE16+AF16)))," ")</f>
        <v>-109.20227333066808</v>
      </c>
      <c r="AI16" s="4"/>
      <c r="AJ16" s="4"/>
      <c r="AK16" s="4">
        <f t="shared" si="9"/>
        <v>-145.90605857849161</v>
      </c>
      <c r="AL16" s="4">
        <f t="shared" si="10"/>
        <v>-87.669405263708356</v>
      </c>
      <c r="AM16" s="4">
        <f t="shared" si="11"/>
        <v>21288.577929910225</v>
      </c>
      <c r="AN16" s="4">
        <f t="shared" si="12"/>
        <v>7685.9246192923347</v>
      </c>
      <c r="AO16" s="4"/>
      <c r="AP16" s="4"/>
      <c r="AQ16" s="4"/>
      <c r="AR16" s="4"/>
      <c r="AS16" s="4"/>
      <c r="AT16" s="4"/>
      <c r="AU16" s="4"/>
      <c r="AV16" s="4"/>
      <c r="AW16" s="5"/>
    </row>
    <row r="17" spans="1:49">
      <c r="A17" s="3">
        <v>6</v>
      </c>
      <c r="B17" s="25">
        <v>261.05</v>
      </c>
      <c r="C17" s="25">
        <v>194</v>
      </c>
      <c r="D17" s="4">
        <f t="shared" si="0"/>
        <v>-8.9499999999999886</v>
      </c>
      <c r="E17" s="4">
        <f t="shared" si="1"/>
        <v>-9</v>
      </c>
      <c r="F17" s="4">
        <f t="shared" si="2"/>
        <v>8.3333333333352286E-2</v>
      </c>
      <c r="G17" s="4">
        <f t="shared" si="3"/>
        <v>191.65547518559617</v>
      </c>
      <c r="H17" s="4">
        <f t="shared" si="4"/>
        <v>-30.069566531350699</v>
      </c>
      <c r="I17" s="4"/>
      <c r="J17" s="4"/>
      <c r="K17" s="4">
        <f t="shared" si="5"/>
        <v>20.872449359988991</v>
      </c>
      <c r="L17" s="4">
        <f t="shared" si="6"/>
        <v>-8.5366984643909802</v>
      </c>
      <c r="M17" s="4">
        <f t="shared" si="7"/>
        <v>435.65914228530482</v>
      </c>
      <c r="N17" s="4">
        <f t="shared" si="8"/>
        <v>72.875220671935324</v>
      </c>
      <c r="O17" s="4"/>
      <c r="P17" s="4"/>
      <c r="Q17" s="4"/>
      <c r="R17" s="4"/>
      <c r="S17" s="4"/>
      <c r="T17" s="4"/>
      <c r="U17" s="4"/>
      <c r="V17" s="4"/>
      <c r="W17" s="5"/>
      <c r="AA17" s="3">
        <v>6</v>
      </c>
      <c r="AB17" s="25">
        <v>193.05</v>
      </c>
      <c r="AC17" s="25">
        <v>118</v>
      </c>
      <c r="AD17" s="4">
        <f>IF(AB17,AB17-$C$4," ")</f>
        <v>-76.949999999999989</v>
      </c>
      <c r="AE17" s="4">
        <f>IF(AB17,INT(AD17)," ")</f>
        <v>-77</v>
      </c>
      <c r="AF17" s="4">
        <f>IF(AB17,((AD17-AE17)/60*100)," ")</f>
        <v>8.3333333333352286E-2</v>
      </c>
      <c r="AG17" s="4">
        <f>IF(AB17,AC17*COS(PI()/180*(AE17+AF17))," ")</f>
        <v>26.711421607819972</v>
      </c>
      <c r="AH17" s="4">
        <f>IF(AB17,(AC17*SIN(PI()/180*(AE17+AF17)))," ")</f>
        <v>-114.93693903915002</v>
      </c>
      <c r="AI17" s="4"/>
      <c r="AJ17" s="4"/>
      <c r="AK17" s="4">
        <f t="shared" si="9"/>
        <v>-144.07160421778721</v>
      </c>
      <c r="AL17" s="4">
        <f>IF(AB17,SUM(AH17,-$J$12)," ")</f>
        <v>-93.404070972190297</v>
      </c>
      <c r="AM17" s="4">
        <f t="shared" si="11"/>
        <v>20756.627141886722</v>
      </c>
      <c r="AN17" s="4">
        <f t="shared" si="12"/>
        <v>8724.3204741779628</v>
      </c>
      <c r="AO17" s="4"/>
      <c r="AP17" s="4"/>
      <c r="AQ17" s="4"/>
      <c r="AR17" s="4"/>
      <c r="AS17" s="4"/>
      <c r="AT17" s="4"/>
      <c r="AU17" s="4"/>
      <c r="AV17" s="4"/>
      <c r="AW17" s="5"/>
    </row>
    <row r="18" spans="1:49">
      <c r="A18" s="3">
        <v>7</v>
      </c>
      <c r="B18" s="25">
        <v>261.25</v>
      </c>
      <c r="C18" s="25">
        <v>160</v>
      </c>
      <c r="D18" s="4">
        <f t="shared" si="0"/>
        <v>-8.75</v>
      </c>
      <c r="E18" s="4">
        <f t="shared" si="1"/>
        <v>-9</v>
      </c>
      <c r="F18" s="4">
        <f t="shared" si="2"/>
        <v>0.41666666666666669</v>
      </c>
      <c r="G18" s="4">
        <f t="shared" si="3"/>
        <v>158.20797396516784</v>
      </c>
      <c r="H18" s="4">
        <f t="shared" si="4"/>
        <v>-23.879635127798181</v>
      </c>
      <c r="I18" s="4"/>
      <c r="J18" s="4"/>
      <c r="K18" s="4">
        <f t="shared" si="5"/>
        <v>-12.575051860439345</v>
      </c>
      <c r="L18" s="4">
        <f t="shared" si="6"/>
        <v>-2.346767060838463</v>
      </c>
      <c r="M18" s="4">
        <f t="shared" si="7"/>
        <v>158.13192929273902</v>
      </c>
      <c r="N18" s="4">
        <f t="shared" si="8"/>
        <v>5.5073156378363981</v>
      </c>
      <c r="O18" s="4"/>
      <c r="P18" s="4"/>
      <c r="Q18" s="4"/>
      <c r="R18" s="4"/>
      <c r="S18" s="4"/>
      <c r="T18" s="4"/>
      <c r="U18" s="4"/>
      <c r="V18" s="4"/>
      <c r="W18" s="5"/>
      <c r="AA18" s="3">
        <v>7</v>
      </c>
      <c r="AB18" s="25">
        <v>195.55</v>
      </c>
      <c r="AC18" s="25">
        <v>124</v>
      </c>
      <c r="AD18" s="4">
        <f>IF(AB18,AB18-$C$4," ")</f>
        <v>-74.449999999999989</v>
      </c>
      <c r="AE18" s="4">
        <f>IF(AB18,INT(AD18)," ")</f>
        <v>-75</v>
      </c>
      <c r="AF18" s="4">
        <f>IF(AB18,((AD18-AE18)/60*100)," ")</f>
        <v>0.91666666666668561</v>
      </c>
      <c r="AG18" s="4">
        <f>IF(AB18,AC18*COS(PI()/180*(AE18+AF18))," ")</f>
        <v>34.005631821765746</v>
      </c>
      <c r="AH18" s="4">
        <f>IF(AB18,(AC18*SIN(PI()/180*(AE18+AF18)))," ")</f>
        <v>-119.24603559197476</v>
      </c>
      <c r="AI18" s="4"/>
      <c r="AJ18" s="4"/>
      <c r="AK18" s="4">
        <f t="shared" si="9"/>
        <v>-136.77739400384144</v>
      </c>
      <c r="AL18" s="4">
        <f t="shared" si="10"/>
        <v>-97.713167525015038</v>
      </c>
      <c r="AM18" s="4">
        <f t="shared" si="11"/>
        <v>18708.055510482078</v>
      </c>
      <c r="AN18" s="4">
        <f t="shared" si="12"/>
        <v>9547.8631077716527</v>
      </c>
      <c r="AO18" s="4"/>
      <c r="AP18" s="4"/>
      <c r="AQ18" s="4"/>
      <c r="AR18" s="4"/>
      <c r="AS18" s="4"/>
      <c r="AT18" s="4"/>
      <c r="AU18" s="4"/>
      <c r="AV18" s="4"/>
      <c r="AW18" s="5"/>
    </row>
    <row r="19" spans="1:49">
      <c r="A19" s="3">
        <v>8</v>
      </c>
      <c r="B19" s="25">
        <v>262.10000000000002</v>
      </c>
      <c r="C19" s="25">
        <v>136</v>
      </c>
      <c r="D19" s="4">
        <f t="shared" si="0"/>
        <v>-7.8999999999999773</v>
      </c>
      <c r="E19" s="4">
        <f t="shared" si="1"/>
        <v>-8</v>
      </c>
      <c r="F19" s="4">
        <f t="shared" si="2"/>
        <v>0.16666666666670457</v>
      </c>
      <c r="G19" s="4">
        <f t="shared" si="3"/>
        <v>134.73094546987483</v>
      </c>
      <c r="H19" s="4">
        <f t="shared" si="4"/>
        <v>-18.535704270235161</v>
      </c>
      <c r="I19" s="4"/>
      <c r="J19" s="4"/>
      <c r="K19" s="4">
        <f t="shared" si="5"/>
        <v>-36.052080355732357</v>
      </c>
      <c r="L19" s="4">
        <f t="shared" si="6"/>
        <v>2.997163796724557</v>
      </c>
      <c r="M19" s="4">
        <f t="shared" si="7"/>
        <v>1299.7524979761829</v>
      </c>
      <c r="N19" s="4">
        <f t="shared" si="8"/>
        <v>8.9829908243963619</v>
      </c>
      <c r="O19" s="4"/>
      <c r="P19" s="4"/>
      <c r="Q19" s="4"/>
      <c r="R19" s="4"/>
      <c r="S19" s="4"/>
      <c r="T19" s="4"/>
      <c r="U19" s="4"/>
      <c r="V19" s="4"/>
      <c r="W19" s="5"/>
      <c r="AA19" s="3">
        <v>8</v>
      </c>
      <c r="AB19" s="25">
        <v>195.05</v>
      </c>
      <c r="AC19" s="25">
        <v>132</v>
      </c>
      <c r="AD19" s="4">
        <f>IF(AB19,AB19-$C$4," ")</f>
        <v>-74.949999999999989</v>
      </c>
      <c r="AE19" s="4">
        <f>IF(AB19,INT(AD19)," ")</f>
        <v>-75</v>
      </c>
      <c r="AF19" s="4">
        <f>IF(AB19,((AD19-AE19)/60*100)," ")</f>
        <v>8.3333333333352286E-2</v>
      </c>
      <c r="AG19" s="4">
        <f>IF(AB19,AC19*COS(PI()/180*(AE19+AF19))," ")</f>
        <v>34.349522198782431</v>
      </c>
      <c r="AH19" s="4">
        <f>IF(AB19,(AC19*SIN(PI()/180*(AE19+AF19)))," ")</f>
        <v>-127.45238453914996</v>
      </c>
      <c r="AI19" s="4"/>
      <c r="AJ19" s="4"/>
      <c r="AK19" s="4">
        <f t="shared" si="9"/>
        <v>-136.43350362682474</v>
      </c>
      <c r="AL19" s="4">
        <f t="shared" si="10"/>
        <v>-105.91951647219024</v>
      </c>
      <c r="AM19" s="4">
        <f t="shared" si="11"/>
        <v>18614.1009118908</v>
      </c>
      <c r="AN19" s="4">
        <f t="shared" si="12"/>
        <v>11218.943969702579</v>
      </c>
      <c r="AO19" s="4"/>
      <c r="AP19" s="4"/>
      <c r="AQ19" s="4"/>
      <c r="AR19" s="4"/>
      <c r="AS19" s="4"/>
      <c r="AT19" s="4"/>
      <c r="AU19" s="4"/>
      <c r="AV19" s="4"/>
      <c r="AW19" s="5"/>
    </row>
    <row r="20" spans="1:49">
      <c r="A20" s="3">
        <v>9</v>
      </c>
      <c r="B20" s="25">
        <v>262.45</v>
      </c>
      <c r="C20" s="25">
        <v>168</v>
      </c>
      <c r="D20" s="4">
        <f t="shared" si="0"/>
        <v>-7.5500000000000114</v>
      </c>
      <c r="E20" s="4">
        <f t="shared" si="1"/>
        <v>-8</v>
      </c>
      <c r="F20" s="4">
        <f t="shared" si="2"/>
        <v>0.74999999999998102</v>
      </c>
      <c r="G20" s="4">
        <f t="shared" si="3"/>
        <v>166.65683154619211</v>
      </c>
      <c r="H20" s="4">
        <f t="shared" si="4"/>
        <v>-21.201426814819449</v>
      </c>
      <c r="I20" s="4"/>
      <c r="J20" s="4"/>
      <c r="K20" s="4">
        <f t="shared" si="5"/>
        <v>-4.1261942794150741</v>
      </c>
      <c r="L20" s="4">
        <f t="shared" si="6"/>
        <v>0.33144125214026943</v>
      </c>
      <c r="M20" s="4">
        <f t="shared" si="7"/>
        <v>17.025479231477682</v>
      </c>
      <c r="N20" s="4">
        <f t="shared" si="8"/>
        <v>0.10985330362030965</v>
      </c>
      <c r="O20" s="4"/>
      <c r="P20" s="4"/>
      <c r="Q20" s="4"/>
      <c r="R20" s="4"/>
      <c r="S20" s="4"/>
      <c r="T20" s="4"/>
      <c r="U20" s="4"/>
      <c r="V20" s="4"/>
      <c r="W20" s="5"/>
      <c r="AA20" s="3">
        <v>9</v>
      </c>
      <c r="AB20" s="25">
        <v>196.5</v>
      </c>
      <c r="AC20" s="25">
        <v>148</v>
      </c>
      <c r="AD20" s="4">
        <f>IF(AB20,AB20-$C$4," ")</f>
        <v>-73.5</v>
      </c>
      <c r="AE20" s="4">
        <f>IF(AB20,INT(AD20)," ")</f>
        <v>-74</v>
      </c>
      <c r="AF20" s="4">
        <f>IF(AB20,((AD20-AE20)/60*100)," ")</f>
        <v>0.83333333333333337</v>
      </c>
      <c r="AG20" s="4">
        <f>IF(AB20,AC20*COS(PI()/180*(AE20+AF20))," ")</f>
        <v>42.859126698261278</v>
      </c>
      <c r="AH20" s="4">
        <f>IF(AB20,(AC20*SIN(PI()/180*(AE20+AF20)))," ")</f>
        <v>-141.65837518008735</v>
      </c>
      <c r="AI20" s="4"/>
      <c r="AJ20" s="4"/>
      <c r="AK20" s="4">
        <f t="shared" si="9"/>
        <v>-127.9238991273459</v>
      </c>
      <c r="AL20" s="4">
        <f t="shared" si="10"/>
        <v>-120.12550711312763</v>
      </c>
      <c r="AM20" s="4">
        <f t="shared" si="11"/>
        <v>16364.523967943371</v>
      </c>
      <c r="AN20" s="4">
        <f t="shared" si="12"/>
        <v>14430.137459186075</v>
      </c>
      <c r="AO20" s="4"/>
      <c r="AP20" s="4"/>
      <c r="AQ20" s="4"/>
      <c r="AR20" s="4"/>
      <c r="AS20" s="4"/>
      <c r="AT20" s="4"/>
      <c r="AU20" s="4"/>
      <c r="AV20" s="4"/>
      <c r="AW20" s="5"/>
    </row>
    <row r="21" spans="1:49">
      <c r="A21" s="3">
        <v>10</v>
      </c>
      <c r="B21" s="25">
        <v>262.55</v>
      </c>
      <c r="C21" s="25">
        <v>220</v>
      </c>
      <c r="D21" s="4">
        <f t="shared" si="0"/>
        <v>-7.4499999999999886</v>
      </c>
      <c r="E21" s="4">
        <f t="shared" si="1"/>
        <v>-8</v>
      </c>
      <c r="F21" s="4">
        <f t="shared" si="2"/>
        <v>0.91666666666668561</v>
      </c>
      <c r="G21" s="4">
        <f t="shared" si="3"/>
        <v>218.32092702498863</v>
      </c>
      <c r="H21" s="4">
        <f t="shared" si="4"/>
        <v>-27.128819048192788</v>
      </c>
      <c r="I21" s="4"/>
      <c r="J21" s="4"/>
      <c r="K21" s="4">
        <f t="shared" si="5"/>
        <v>47.537901199381452</v>
      </c>
      <c r="L21" s="4">
        <f t="shared" si="6"/>
        <v>-5.5959509812330701</v>
      </c>
      <c r="M21" s="4">
        <f t="shared" si="7"/>
        <v>2259.8520504421526</v>
      </c>
      <c r="N21" s="4">
        <f t="shared" si="8"/>
        <v>31.314667384363361</v>
      </c>
      <c r="O21" s="4"/>
      <c r="P21" s="4"/>
      <c r="Q21" s="4"/>
      <c r="R21" s="4"/>
      <c r="S21" s="4"/>
      <c r="T21" s="4"/>
      <c r="U21" s="4"/>
      <c r="V21" s="4"/>
      <c r="W21" s="5"/>
      <c r="AA21" s="3">
        <v>10</v>
      </c>
      <c r="AB21" s="25">
        <v>202.05</v>
      </c>
      <c r="AC21" s="25">
        <v>128</v>
      </c>
      <c r="AD21" s="4">
        <f>IF(AB21,AB21-$C$4," ")</f>
        <v>-67.949999999999989</v>
      </c>
      <c r="AE21" s="4">
        <f>IF(AB21,INT(AD21)," ")</f>
        <v>-68</v>
      </c>
      <c r="AF21" s="4">
        <f>IF(AB21,((AD21-AE21)/60*100)," ")</f>
        <v>8.3333333333352286E-2</v>
      </c>
      <c r="AG21" s="4">
        <f>IF(AB21,AC21*COS(PI()/180*(AE21+AF21))," ")</f>
        <v>48.122205564437557</v>
      </c>
      <c r="AH21" s="4">
        <f>IF(AB21,(AC21*SIN(PI()/180*(AE21+AF21)))," ")</f>
        <v>-118.60966795170626</v>
      </c>
      <c r="AI21" s="4"/>
      <c r="AJ21" s="4"/>
      <c r="AK21" s="4">
        <f t="shared" si="9"/>
        <v>-122.66082026116962</v>
      </c>
      <c r="AL21" s="4">
        <f t="shared" si="10"/>
        <v>-97.076799884746535</v>
      </c>
      <c r="AM21" s="4">
        <f t="shared" si="11"/>
        <v>15045.676827142959</v>
      </c>
      <c r="AN21" s="4">
        <f t="shared" si="12"/>
        <v>9423.9050758631256</v>
      </c>
      <c r="AO21" s="4"/>
      <c r="AP21" s="4"/>
      <c r="AQ21" s="4"/>
      <c r="AR21" s="4"/>
      <c r="AS21" s="4"/>
      <c r="AT21" s="4"/>
      <c r="AU21" s="4"/>
      <c r="AV21" s="4"/>
      <c r="AW21" s="5"/>
    </row>
    <row r="22" spans="1:49">
      <c r="A22" s="3">
        <v>11</v>
      </c>
      <c r="B22" s="25">
        <v>263</v>
      </c>
      <c r="C22" s="25">
        <v>142</v>
      </c>
      <c r="D22" s="4">
        <f t="shared" si="0"/>
        <v>-7</v>
      </c>
      <c r="E22" s="4">
        <f t="shared" si="1"/>
        <v>-7</v>
      </c>
      <c r="F22" s="4">
        <f t="shared" si="2"/>
        <v>0</v>
      </c>
      <c r="G22" s="4">
        <f t="shared" si="3"/>
        <v>140.94155353306772</v>
      </c>
      <c r="H22" s="4">
        <f t="shared" si="4"/>
        <v>-17.305446763530941</v>
      </c>
      <c r="I22" s="4"/>
      <c r="J22" s="4"/>
      <c r="K22" s="4">
        <f t="shared" si="5"/>
        <v>-29.841472292539464</v>
      </c>
      <c r="L22" s="4">
        <f t="shared" si="6"/>
        <v>4.2274213034287769</v>
      </c>
      <c r="M22" s="4">
        <f t="shared" si="7"/>
        <v>890.51346858640056</v>
      </c>
      <c r="N22" s="4">
        <f t="shared" si="8"/>
        <v>17.871090876683457</v>
      </c>
      <c r="O22" s="4"/>
      <c r="P22" s="4"/>
      <c r="Q22" s="4"/>
      <c r="R22" s="4"/>
      <c r="S22" s="4"/>
      <c r="T22" s="4"/>
      <c r="U22" s="4"/>
      <c r="V22" s="4"/>
      <c r="W22" s="5"/>
      <c r="AA22" s="3">
        <v>11</v>
      </c>
      <c r="AB22" s="25">
        <v>205.2</v>
      </c>
      <c r="AC22" s="25">
        <v>124</v>
      </c>
      <c r="AD22" s="4">
        <f>IF(AB22,AB22-$C$4," ")</f>
        <v>-64.800000000000011</v>
      </c>
      <c r="AE22" s="4">
        <f>IF(AB22,INT(AD22)," ")</f>
        <v>-65</v>
      </c>
      <c r="AF22" s="4">
        <f>IF(AB22,((AD22-AE22)/60*100)," ")</f>
        <v>0.33333333333331439</v>
      </c>
      <c r="AG22" s="4">
        <f>IF(AB22,AC22*COS(PI()/180*(AE22+AF22))," ")</f>
        <v>53.057586852765098</v>
      </c>
      <c r="AH22" s="4">
        <f>IF(AB22,(AC22*SIN(PI()/180*(AE22+AF22)))," ")</f>
        <v>-112.07538747361656</v>
      </c>
      <c r="AI22" s="4"/>
      <c r="AJ22" s="4"/>
      <c r="AK22" s="4">
        <f t="shared" si="9"/>
        <v>-117.72543897284208</v>
      </c>
      <c r="AL22" s="4">
        <f t="shared" si="10"/>
        <v>-90.542519406656837</v>
      </c>
      <c r="AM22" s="4">
        <f t="shared" si="11"/>
        <v>13859.278981348367</v>
      </c>
      <c r="AN22" s="4">
        <f t="shared" si="12"/>
        <v>8197.947820504829</v>
      </c>
      <c r="AO22" s="4"/>
      <c r="AP22" s="4"/>
      <c r="AQ22" s="4"/>
      <c r="AR22" s="4"/>
      <c r="AS22" s="4"/>
      <c r="AT22" s="4"/>
      <c r="AU22" s="4"/>
      <c r="AV22" s="4"/>
      <c r="AW22" s="5"/>
    </row>
    <row r="23" spans="1:49">
      <c r="A23" s="3">
        <v>12</v>
      </c>
      <c r="B23" s="25">
        <v>263.3</v>
      </c>
      <c r="C23" s="25">
        <v>216</v>
      </c>
      <c r="D23" s="4">
        <f t="shared" si="0"/>
        <v>-6.6999999999999886</v>
      </c>
      <c r="E23" s="4">
        <f t="shared" si="1"/>
        <v>-7</v>
      </c>
      <c r="F23" s="4">
        <f t="shared" si="2"/>
        <v>0.50000000000001887</v>
      </c>
      <c r="G23" s="4">
        <f t="shared" si="3"/>
        <v>214.61152082614291</v>
      </c>
      <c r="H23" s="4">
        <f t="shared" si="4"/>
        <v>-24.451894173867778</v>
      </c>
      <c r="I23" s="4"/>
      <c r="J23" s="4"/>
      <c r="K23" s="4">
        <f t="shared" si="5"/>
        <v>43.828495000535725</v>
      </c>
      <c r="L23" s="4">
        <f t="shared" si="6"/>
        <v>-2.9190261069080599</v>
      </c>
      <c r="M23" s="4">
        <f t="shared" si="7"/>
        <v>1920.9369740119851</v>
      </c>
      <c r="N23" s="4">
        <f t="shared" si="8"/>
        <v>8.5207134128108244</v>
      </c>
      <c r="O23" s="4"/>
      <c r="P23" s="4"/>
      <c r="Q23" s="4"/>
      <c r="R23" s="4"/>
      <c r="S23" s="4"/>
      <c r="T23" s="4"/>
      <c r="U23" s="4"/>
      <c r="V23" s="4"/>
      <c r="W23" s="5"/>
      <c r="AA23" s="3">
        <v>12</v>
      </c>
      <c r="AB23" s="25">
        <v>204.2</v>
      </c>
      <c r="AC23" s="25">
        <v>130</v>
      </c>
      <c r="AD23" s="4">
        <f>IF(AB23,AB23-$C$4," ")</f>
        <v>-65.800000000000011</v>
      </c>
      <c r="AE23" s="4">
        <f>IF(AB23,INT(AD23)," ")</f>
        <v>-66</v>
      </c>
      <c r="AF23" s="4">
        <f>IF(AB23,((AD23-AE23)/60*100)," ")</f>
        <v>0.33333333333331439</v>
      </c>
      <c r="AG23" s="4">
        <f>IF(AB23,AC23*COS(PI()/180*(AE23+AF23))," ")</f>
        <v>53.565787842692849</v>
      </c>
      <c r="AH23" s="4">
        <f>IF(AB23,(AC23*SIN(PI()/180*(AE23+AF23)))," ")</f>
        <v>-118.45128269795822</v>
      </c>
      <c r="AI23" s="4"/>
      <c r="AJ23" s="4"/>
      <c r="AK23" s="4">
        <f t="shared" si="9"/>
        <v>-117.21723798291433</v>
      </c>
      <c r="AL23" s="4">
        <f t="shared" si="10"/>
        <v>-96.918414630998498</v>
      </c>
      <c r="AM23" s="4">
        <f t="shared" si="11"/>
        <v>13739.880880343173</v>
      </c>
      <c r="AN23" s="4">
        <f t="shared" si="12"/>
        <v>9393.179094586143</v>
      </c>
      <c r="AO23" s="4"/>
      <c r="AP23" s="4"/>
      <c r="AQ23" s="4"/>
      <c r="AR23" s="4"/>
      <c r="AS23" s="4"/>
      <c r="AT23" s="4"/>
      <c r="AU23" s="4"/>
      <c r="AV23" s="4"/>
      <c r="AW23" s="5"/>
    </row>
    <row r="24" spans="1:49">
      <c r="A24" s="3">
        <v>13</v>
      </c>
      <c r="B24" s="25">
        <v>263.39999999999998</v>
      </c>
      <c r="C24" s="25">
        <v>174</v>
      </c>
      <c r="D24" s="4">
        <f t="shared" si="0"/>
        <v>-6.6000000000000227</v>
      </c>
      <c r="E24" s="4">
        <f t="shared" si="1"/>
        <v>-7</v>
      </c>
      <c r="F24" s="4">
        <f t="shared" si="2"/>
        <v>0.66666666666662877</v>
      </c>
      <c r="G24" s="4">
        <f t="shared" si="3"/>
        <v>172.93806867612645</v>
      </c>
      <c r="H24" s="4">
        <f t="shared" si="4"/>
        <v>-19.194384662483152</v>
      </c>
      <c r="I24" s="4"/>
      <c r="J24" s="4"/>
      <c r="K24" s="4">
        <f t="shared" si="5"/>
        <v>2.1550428505192656</v>
      </c>
      <c r="L24" s="4">
        <f t="shared" si="6"/>
        <v>2.3384834044765661</v>
      </c>
      <c r="M24" s="4">
        <f t="shared" si="7"/>
        <v>4.6442096875742021</v>
      </c>
      <c r="N24" s="4">
        <f t="shared" si="8"/>
        <v>5.4685046330123113</v>
      </c>
      <c r="O24" s="4"/>
      <c r="P24" s="4"/>
      <c r="Q24" s="4"/>
      <c r="R24" s="4"/>
      <c r="S24" s="4"/>
      <c r="T24" s="4"/>
      <c r="U24" s="4"/>
      <c r="V24" s="4"/>
      <c r="W24" s="5"/>
      <c r="AA24" s="3">
        <v>13</v>
      </c>
      <c r="AB24" s="25">
        <v>203.45</v>
      </c>
      <c r="AC24" s="25">
        <v>134</v>
      </c>
      <c r="AD24" s="4">
        <f>IF(AB24,AB24-$C$4," ")</f>
        <v>-66.550000000000011</v>
      </c>
      <c r="AE24" s="4">
        <f>IF(AB24,INT(AD24)," ")</f>
        <v>-67</v>
      </c>
      <c r="AF24" s="4">
        <f>IF(AB24,((AD24-AE24)/60*100)," ")</f>
        <v>0.74999999999998102</v>
      </c>
      <c r="AG24" s="4">
        <f>IF(AB24,AC24*COS(PI()/180*(AE24+AF24))," ")</f>
        <v>53.968056441070765</v>
      </c>
      <c r="AH24" s="4">
        <f>IF(AB24,(AC24*SIN(PI()/180*(AE24+AF24)))," ")</f>
        <v>-122.65173820200593</v>
      </c>
      <c r="AI24" s="4"/>
      <c r="AJ24" s="4"/>
      <c r="AK24" s="4">
        <f t="shared" si="9"/>
        <v>-116.81496938453643</v>
      </c>
      <c r="AL24" s="4">
        <f t="shared" si="10"/>
        <v>-101.11887013504621</v>
      </c>
      <c r="AM24" s="4">
        <f t="shared" si="11"/>
        <v>13645.737072310183</v>
      </c>
      <c r="AN24" s="4">
        <f t="shared" si="12"/>
        <v>10225.025897388339</v>
      </c>
      <c r="AO24" s="4"/>
      <c r="AP24" s="4"/>
      <c r="AQ24" s="4"/>
      <c r="AR24" s="4"/>
      <c r="AS24" s="4"/>
      <c r="AT24" s="4"/>
      <c r="AU24" s="4"/>
      <c r="AV24" s="4"/>
      <c r="AW24" s="5"/>
    </row>
    <row r="25" spans="1:49">
      <c r="A25" s="3">
        <v>14</v>
      </c>
      <c r="B25" s="25">
        <v>264.14999999999998</v>
      </c>
      <c r="C25" s="25">
        <v>122</v>
      </c>
      <c r="D25" s="4">
        <f t="shared" si="0"/>
        <v>-5.8500000000000227</v>
      </c>
      <c r="E25" s="4">
        <f t="shared" si="1"/>
        <v>-6</v>
      </c>
      <c r="F25" s="4">
        <f t="shared" si="2"/>
        <v>0.24999999999996211</v>
      </c>
      <c r="G25" s="4">
        <f t="shared" si="3"/>
        <v>121.38615922661121</v>
      </c>
      <c r="H25" s="4">
        <f t="shared" si="4"/>
        <v>-12.222943516673388</v>
      </c>
      <c r="I25" s="4"/>
      <c r="J25" s="4"/>
      <c r="K25" s="4">
        <f t="shared" si="5"/>
        <v>-49.39686659899597</v>
      </c>
      <c r="L25" s="4">
        <f t="shared" si="6"/>
        <v>9.3099245502863308</v>
      </c>
      <c r="M25" s="4">
        <f t="shared" si="7"/>
        <v>2440.0504297990037</v>
      </c>
      <c r="N25" s="4">
        <f t="shared" si="8"/>
        <v>86.674695132024141</v>
      </c>
      <c r="O25" s="4"/>
      <c r="P25" s="4"/>
      <c r="Q25" s="4"/>
      <c r="R25" s="4"/>
      <c r="S25" s="4"/>
      <c r="T25" s="4"/>
      <c r="U25" s="4"/>
      <c r="V25" s="4"/>
      <c r="W25" s="5"/>
      <c r="AA25" s="3">
        <v>14</v>
      </c>
      <c r="AB25" s="25">
        <v>203.3</v>
      </c>
      <c r="AC25" s="25">
        <v>136</v>
      </c>
      <c r="AD25" s="4">
        <f>IF(AB25,AB25-$C$4," ")</f>
        <v>-66.699999999999989</v>
      </c>
      <c r="AE25" s="4">
        <f>IF(AB25,INT(AD25)," ")</f>
        <v>-67</v>
      </c>
      <c r="AF25" s="4">
        <f>IF(AB25,((AD25-AE25)/60*100)," ")</f>
        <v>0.50000000000001887</v>
      </c>
      <c r="AG25" s="4">
        <f>IF(AB25,AC25*COS(PI()/180*(AE25+AF25))," ")</f>
        <v>54.22987337383352</v>
      </c>
      <c r="AH25" s="4">
        <f>IF(AB25,(AC25*SIN(PI()/180*(AE25+AF25)))," ")</f>
        <v>-124.72017011637685</v>
      </c>
      <c r="AI25" s="4"/>
      <c r="AJ25" s="4"/>
      <c r="AK25" s="4">
        <f t="shared" si="9"/>
        <v>-116.55315245177366</v>
      </c>
      <c r="AL25" s="4">
        <f t="shared" si="10"/>
        <v>-103.18730204941713</v>
      </c>
      <c r="AM25" s="4">
        <f t="shared" si="11"/>
        <v>13584.63734644639</v>
      </c>
      <c r="AN25" s="4">
        <f t="shared" si="12"/>
        <v>10647.619304237644</v>
      </c>
      <c r="AO25" s="4"/>
      <c r="AP25" s="4"/>
      <c r="AQ25" s="4"/>
      <c r="AR25" s="4"/>
      <c r="AS25" s="4"/>
      <c r="AT25" s="4"/>
      <c r="AU25" s="4"/>
      <c r="AV25" s="4"/>
      <c r="AW25" s="5"/>
    </row>
    <row r="26" spans="1:49">
      <c r="A26" s="3">
        <v>15</v>
      </c>
      <c r="B26" s="25">
        <v>264.14999999999998</v>
      </c>
      <c r="C26" s="25">
        <v>196</v>
      </c>
      <c r="D26" s="4">
        <f t="shared" si="0"/>
        <v>-5.8500000000000227</v>
      </c>
      <c r="E26" s="4">
        <f t="shared" si="1"/>
        <v>-6</v>
      </c>
      <c r="F26" s="4">
        <f t="shared" si="2"/>
        <v>0.24999999999996211</v>
      </c>
      <c r="G26" s="4">
        <f t="shared" si="3"/>
        <v>195.01382957717868</v>
      </c>
      <c r="H26" s="4">
        <f t="shared" si="4"/>
        <v>-19.636860075967082</v>
      </c>
      <c r="I26" s="4"/>
      <c r="J26" s="4"/>
      <c r="K26" s="4">
        <f t="shared" si="5"/>
        <v>24.2308037515715</v>
      </c>
      <c r="L26" s="4">
        <f t="shared" si="6"/>
        <v>1.8960079909926364</v>
      </c>
      <c r="M26" s="4">
        <f t="shared" si="7"/>
        <v>587.13185044717147</v>
      </c>
      <c r="N26" s="4">
        <f t="shared" si="8"/>
        <v>3.5948463019079333</v>
      </c>
      <c r="O26" s="4"/>
      <c r="P26" s="4"/>
      <c r="Q26" s="4"/>
      <c r="R26" s="4"/>
      <c r="S26" s="4"/>
      <c r="T26" s="4"/>
      <c r="U26" s="4"/>
      <c r="V26" s="4"/>
      <c r="W26" s="5"/>
      <c r="AA26" s="3">
        <v>15</v>
      </c>
      <c r="AB26" s="25">
        <v>205.25</v>
      </c>
      <c r="AC26" s="25">
        <v>130</v>
      </c>
      <c r="AD26" s="4">
        <f>IF(AB26,AB26-$C$4," ")</f>
        <v>-64.75</v>
      </c>
      <c r="AE26" s="4">
        <f>IF(AB26,INT(AD26)," ")</f>
        <v>-65</v>
      </c>
      <c r="AF26" s="4">
        <f>IF(AB26,((AD26-AE26)/60*100)," ")</f>
        <v>0.41666666666666669</v>
      </c>
      <c r="AG26" s="4">
        <f>IF(AB26,AC26*COS(PI()/180*(AE26+AF26))," ")</f>
        <v>55.795725028839776</v>
      </c>
      <c r="AH26" s="4">
        <f>IF(AB26,(AC26*SIN(PI()/180*(AE26+AF26)))," ")</f>
        <v>-117.41736272164395</v>
      </c>
      <c r="AI26" s="4"/>
      <c r="AJ26" s="4"/>
      <c r="AK26" s="4">
        <f t="shared" si="9"/>
        <v>-114.98730079676741</v>
      </c>
      <c r="AL26" s="4">
        <f t="shared" si="10"/>
        <v>-95.884494654684232</v>
      </c>
      <c r="AM26" s="4">
        <f t="shared" si="11"/>
        <v>13222.079344526268</v>
      </c>
      <c r="AN26" s="4">
        <f t="shared" si="12"/>
        <v>9193.8363151841695</v>
      </c>
      <c r="AO26" s="4"/>
      <c r="AP26" s="4"/>
      <c r="AQ26" s="4"/>
      <c r="AR26" s="4"/>
      <c r="AS26" s="4"/>
      <c r="AT26" s="4"/>
      <c r="AU26" s="4"/>
      <c r="AV26" s="4"/>
      <c r="AW26" s="5"/>
    </row>
    <row r="27" spans="1:49">
      <c r="A27" s="3">
        <v>16</v>
      </c>
      <c r="B27" s="25">
        <v>264.25</v>
      </c>
      <c r="C27" s="25">
        <v>186</v>
      </c>
      <c r="D27" s="4">
        <f t="shared" si="0"/>
        <v>-5.75</v>
      </c>
      <c r="E27" s="4">
        <f t="shared" si="1"/>
        <v>-6</v>
      </c>
      <c r="F27" s="4">
        <f t="shared" si="2"/>
        <v>0.41666666666666669</v>
      </c>
      <c r="G27" s="4">
        <f t="shared" si="3"/>
        <v>185.11756830779257</v>
      </c>
      <c r="H27" s="4">
        <f t="shared" si="4"/>
        <v>-18.096571603752892</v>
      </c>
      <c r="I27" s="4"/>
      <c r="J27" s="4"/>
      <c r="K27" s="4">
        <f t="shared" si="5"/>
        <v>14.334542482185384</v>
      </c>
      <c r="L27" s="4">
        <f t="shared" si="6"/>
        <v>3.4362964632068262</v>
      </c>
      <c r="M27" s="4">
        <f t="shared" si="7"/>
        <v>205.47910817357752</v>
      </c>
      <c r="N27" s="4">
        <f t="shared" si="8"/>
        <v>11.808133383047743</v>
      </c>
      <c r="O27" s="4"/>
      <c r="P27" s="4"/>
      <c r="Q27" s="4"/>
      <c r="R27" s="4"/>
      <c r="S27" s="4"/>
      <c r="T27" s="4"/>
      <c r="U27" s="4"/>
      <c r="V27" s="4"/>
      <c r="W27" s="5"/>
      <c r="AA27" s="3">
        <v>16</v>
      </c>
      <c r="AB27" s="25">
        <v>204.5</v>
      </c>
      <c r="AC27" s="25">
        <v>136</v>
      </c>
      <c r="AD27" s="4">
        <f>IF(AB27,AB27-$C$4," ")</f>
        <v>-65.5</v>
      </c>
      <c r="AE27" s="4">
        <f>IF(AB27,INT(AD27)," ")</f>
        <v>-66</v>
      </c>
      <c r="AF27" s="4">
        <f>IF(AB27,((AD27-AE27)/60*100)," ")</f>
        <v>0.83333333333333337</v>
      </c>
      <c r="AG27" s="4">
        <f>IF(AB27,AC27*COS(PI()/180*(AE27+AF27))," ")</f>
        <v>57.117298354683705</v>
      </c>
      <c r="AH27" s="4">
        <f>IF(AB27,(AC27*SIN(PI()/180*(AE27+AF27)))," ")</f>
        <v>-123.42452847251249</v>
      </c>
      <c r="AI27" s="4"/>
      <c r="AJ27" s="4"/>
      <c r="AK27" s="4">
        <f t="shared" si="9"/>
        <v>-113.66572747092349</v>
      </c>
      <c r="AL27" s="4">
        <f t="shared" si="10"/>
        <v>-101.89166040555277</v>
      </c>
      <c r="AM27" s="4">
        <f t="shared" si="11"/>
        <v>12919.897601494249</v>
      </c>
      <c r="AN27" s="4">
        <f t="shared" si="12"/>
        <v>10381.91046020049</v>
      </c>
      <c r="AO27" s="4"/>
      <c r="AP27" s="4"/>
      <c r="AQ27" s="4"/>
      <c r="AR27" s="4"/>
      <c r="AS27" s="4"/>
      <c r="AT27" s="4"/>
      <c r="AU27" s="4"/>
      <c r="AV27" s="4"/>
      <c r="AW27" s="5"/>
    </row>
    <row r="28" spans="1:49">
      <c r="A28" s="3">
        <v>17</v>
      </c>
      <c r="B28" s="25">
        <v>264.39999999999998</v>
      </c>
      <c r="C28" s="25">
        <v>184</v>
      </c>
      <c r="D28" s="4">
        <f t="shared" si="0"/>
        <v>-5.6000000000000227</v>
      </c>
      <c r="E28" s="4">
        <f t="shared" si="1"/>
        <v>-6</v>
      </c>
      <c r="F28" s="4">
        <f t="shared" si="2"/>
        <v>0.66666666666662877</v>
      </c>
      <c r="G28" s="4">
        <f t="shared" si="3"/>
        <v>183.203425479564</v>
      </c>
      <c r="H28" s="4">
        <f t="shared" si="4"/>
        <v>-17.102774411008287</v>
      </c>
      <c r="I28" s="4"/>
      <c r="J28" s="4"/>
      <c r="K28" s="4">
        <f t="shared" si="5"/>
        <v>12.420399653956821</v>
      </c>
      <c r="L28" s="4">
        <f t="shared" si="6"/>
        <v>4.4300936559514312</v>
      </c>
      <c r="M28" s="4">
        <f t="shared" si="7"/>
        <v>154.26632756401071</v>
      </c>
      <c r="N28" s="4">
        <f t="shared" si="8"/>
        <v>19.625729800501119</v>
      </c>
      <c r="O28" s="4"/>
      <c r="P28" s="4"/>
      <c r="Q28" s="4"/>
      <c r="R28" s="4"/>
      <c r="S28" s="4"/>
      <c r="T28" s="4"/>
      <c r="U28" s="4"/>
      <c r="V28" s="4"/>
      <c r="W28" s="5"/>
      <c r="AA28" s="3">
        <v>17</v>
      </c>
      <c r="AB28" s="25"/>
      <c r="AC28" s="25"/>
      <c r="AD28" s="4" t="str">
        <f>IF(AB28,AB28-$C$4," ")</f>
        <v xml:space="preserve"> </v>
      </c>
      <c r="AE28" s="4" t="str">
        <f>IF(AB28,INT(AD28)," ")</f>
        <v xml:space="preserve"> </v>
      </c>
      <c r="AF28" s="4" t="str">
        <f>IF(AB28,((AD28-AE28)/60*100)," ")</f>
        <v xml:space="preserve"> </v>
      </c>
      <c r="AG28" s="4" t="str">
        <f>IF(AB28,AC28*COS(PI()/180*(AE28+AF28))," ")</f>
        <v xml:space="preserve"> </v>
      </c>
      <c r="AH28" s="4" t="str">
        <f>IF(AB28,(AC28*SIN(PI()/180*(AE28+AF28)))," ")</f>
        <v xml:space="preserve"> </v>
      </c>
      <c r="AI28" s="4"/>
      <c r="AJ28" s="4"/>
      <c r="AK28" s="4" t="str">
        <f t="shared" si="9"/>
        <v xml:space="preserve"> </v>
      </c>
      <c r="AL28" s="4" t="str">
        <f t="shared" si="10"/>
        <v xml:space="preserve"> </v>
      </c>
      <c r="AM28" s="4" t="str">
        <f t="shared" si="11"/>
        <v xml:space="preserve"> </v>
      </c>
      <c r="AN28" s="4" t="str">
        <f t="shared" si="12"/>
        <v xml:space="preserve"> </v>
      </c>
      <c r="AO28" s="4"/>
      <c r="AP28" s="4"/>
      <c r="AQ28" s="4"/>
      <c r="AR28" s="4"/>
      <c r="AS28" s="4"/>
      <c r="AT28" s="4"/>
      <c r="AU28" s="4"/>
      <c r="AV28" s="4"/>
      <c r="AW28" s="5"/>
    </row>
    <row r="29" spans="1:49">
      <c r="A29" s="3">
        <v>18</v>
      </c>
      <c r="B29" s="25">
        <v>264.55</v>
      </c>
      <c r="C29" s="25">
        <v>202</v>
      </c>
      <c r="D29" s="4">
        <f t="shared" si="0"/>
        <v>-5.4499999999999886</v>
      </c>
      <c r="E29" s="4">
        <f t="shared" si="1"/>
        <v>-6</v>
      </c>
      <c r="F29" s="4">
        <f t="shared" si="2"/>
        <v>0.91666666666668561</v>
      </c>
      <c r="G29" s="4">
        <f t="shared" si="3"/>
        <v>201.20551007768557</v>
      </c>
      <c r="H29" s="4">
        <f t="shared" si="4"/>
        <v>-17.898120414679578</v>
      </c>
      <c r="I29" s="4"/>
      <c r="J29" s="4"/>
      <c r="K29" s="4">
        <f t="shared" si="5"/>
        <v>30.422484252078391</v>
      </c>
      <c r="L29" s="4">
        <f t="shared" si="6"/>
        <v>3.6347476522801401</v>
      </c>
      <c r="M29" s="4">
        <f t="shared" si="7"/>
        <v>925.5275480679577</v>
      </c>
      <c r="N29" s="4">
        <f t="shared" si="8"/>
        <v>13.211390495755991</v>
      </c>
      <c r="O29" s="4"/>
      <c r="P29" s="4"/>
      <c r="Q29" s="4"/>
      <c r="R29" s="4"/>
      <c r="S29" s="4"/>
      <c r="T29" s="4"/>
      <c r="U29" s="4"/>
      <c r="V29" s="4"/>
      <c r="W29" s="5"/>
      <c r="AA29" s="3">
        <v>18</v>
      </c>
      <c r="AB29" s="25"/>
      <c r="AC29" s="25"/>
      <c r="AD29" s="4" t="str">
        <f>IF(AB29,AB29-$C$4," ")</f>
        <v xml:space="preserve"> </v>
      </c>
      <c r="AE29" s="4" t="str">
        <f>IF(AB29,INT(AD29)," ")</f>
        <v xml:space="preserve"> </v>
      </c>
      <c r="AF29" s="4" t="str">
        <f>IF(AB29,((AD29-AE29)/60*100)," ")</f>
        <v xml:space="preserve"> </v>
      </c>
      <c r="AG29" s="4" t="str">
        <f>IF(AB29,AC29*COS(PI()/180*(AE29+AF29))," ")</f>
        <v xml:space="preserve"> </v>
      </c>
      <c r="AH29" s="4" t="str">
        <f>IF(AB29,(AC29*SIN(PI()/180*(AE29+AF29)))," ")</f>
        <v xml:space="preserve"> </v>
      </c>
      <c r="AI29" s="4"/>
      <c r="AJ29" s="4"/>
      <c r="AK29" s="4" t="str">
        <f t="shared" si="9"/>
        <v xml:space="preserve"> </v>
      </c>
      <c r="AL29" s="4" t="str">
        <f t="shared" si="10"/>
        <v xml:space="preserve"> </v>
      </c>
      <c r="AM29" s="4" t="str">
        <f t="shared" si="11"/>
        <v xml:space="preserve"> </v>
      </c>
      <c r="AN29" s="4" t="str">
        <f t="shared" si="12"/>
        <v xml:space="preserve"> </v>
      </c>
      <c r="AO29" s="4"/>
      <c r="AP29" s="4"/>
      <c r="AQ29" s="4"/>
      <c r="AR29" s="4"/>
      <c r="AS29" s="4"/>
      <c r="AT29" s="4"/>
      <c r="AU29" s="4"/>
      <c r="AV29" s="4"/>
      <c r="AW29" s="5"/>
    </row>
    <row r="30" spans="1:49">
      <c r="A30" s="3">
        <v>19</v>
      </c>
      <c r="B30" s="25">
        <v>265.05</v>
      </c>
      <c r="C30" s="25">
        <v>164</v>
      </c>
      <c r="D30" s="4">
        <f t="shared" si="0"/>
        <v>-4.9499999999999886</v>
      </c>
      <c r="E30" s="4">
        <f t="shared" si="1"/>
        <v>-5</v>
      </c>
      <c r="F30" s="4">
        <f t="shared" si="2"/>
        <v>8.3333333333352286E-2</v>
      </c>
      <c r="G30" s="4">
        <f t="shared" si="3"/>
        <v>163.39654679099164</v>
      </c>
      <c r="H30" s="4">
        <f t="shared" si="4"/>
        <v>-14.055906117333025</v>
      </c>
      <c r="I30" s="4"/>
      <c r="J30" s="4"/>
      <c r="K30" s="4">
        <f t="shared" si="5"/>
        <v>-7.3864790346155473</v>
      </c>
      <c r="L30" s="4">
        <f t="shared" si="6"/>
        <v>7.476961949626693</v>
      </c>
      <c r="M30" s="4">
        <f t="shared" si="7"/>
        <v>54.560072528815027</v>
      </c>
      <c r="N30" s="4">
        <f t="shared" si="8"/>
        <v>55.904959996165395</v>
      </c>
      <c r="O30" s="4"/>
      <c r="P30" s="4"/>
      <c r="Q30" s="4"/>
      <c r="R30" s="4"/>
      <c r="S30" s="4"/>
      <c r="T30" s="4"/>
      <c r="U30" s="4"/>
      <c r="V30" s="4"/>
      <c r="W30" s="5"/>
      <c r="AA30" s="3">
        <v>19</v>
      </c>
      <c r="AB30" s="25"/>
      <c r="AC30" s="25"/>
      <c r="AD30" s="4" t="str">
        <f>IF(AB30,AB30-$C$4," ")</f>
        <v xml:space="preserve"> </v>
      </c>
      <c r="AE30" s="4" t="str">
        <f>IF(AB30,INT(AD30)," ")</f>
        <v xml:space="preserve"> </v>
      </c>
      <c r="AF30" s="4" t="str">
        <f>IF(AB30,((AD30-AE30)/60*100)," ")</f>
        <v xml:space="preserve"> </v>
      </c>
      <c r="AG30" s="4" t="str">
        <f>IF(AB30,AC30*COS(PI()/180*(AE30+AF30))," ")</f>
        <v xml:space="preserve"> </v>
      </c>
      <c r="AH30" s="4" t="str">
        <f>IF(AB30,(AC30*SIN(PI()/180*(AE30+AF30)))," ")</f>
        <v xml:space="preserve"> </v>
      </c>
      <c r="AI30" s="4"/>
      <c r="AJ30" s="4"/>
      <c r="AK30" s="4" t="str">
        <f t="shared" si="9"/>
        <v xml:space="preserve"> </v>
      </c>
      <c r="AL30" s="4" t="str">
        <f t="shared" si="10"/>
        <v xml:space="preserve"> </v>
      </c>
      <c r="AM30" s="4" t="str">
        <f t="shared" si="11"/>
        <v xml:space="preserve"> </v>
      </c>
      <c r="AN30" s="4" t="str">
        <f t="shared" si="12"/>
        <v xml:space="preserve"> </v>
      </c>
      <c r="AO30" s="4"/>
      <c r="AP30" s="4"/>
      <c r="AQ30" s="4"/>
      <c r="AR30" s="4"/>
      <c r="AS30" s="4"/>
      <c r="AT30" s="4"/>
      <c r="AU30" s="4"/>
      <c r="AV30" s="4"/>
      <c r="AW30" s="5"/>
    </row>
    <row r="31" spans="1:49">
      <c r="A31" s="3">
        <v>20</v>
      </c>
      <c r="B31" s="25">
        <v>266.05</v>
      </c>
      <c r="C31" s="25">
        <v>150</v>
      </c>
      <c r="D31" s="4">
        <f t="shared" si="0"/>
        <v>-3.9499999999999886</v>
      </c>
      <c r="E31" s="4">
        <f t="shared" si="1"/>
        <v>-4</v>
      </c>
      <c r="F31" s="4">
        <f>IF(B31,((D31-E31)/60*100)," ")</f>
        <v>8.3333333333352286E-2</v>
      </c>
      <c r="G31" s="4">
        <f t="shared" si="3"/>
        <v>149.64966776697295</v>
      </c>
      <c r="H31" s="4">
        <f t="shared" si="4"/>
        <v>-10.245825356437543</v>
      </c>
      <c r="I31" s="4"/>
      <c r="J31" s="4"/>
      <c r="K31" s="4">
        <f t="shared" si="5"/>
        <v>-21.133358058634229</v>
      </c>
      <c r="L31" s="4">
        <f t="shared" si="6"/>
        <v>11.287042710522176</v>
      </c>
      <c r="M31" s="4">
        <f t="shared" si="7"/>
        <v>446.61882283444032</v>
      </c>
      <c r="N31" s="4">
        <f t="shared" si="8"/>
        <v>127.39733314915179</v>
      </c>
      <c r="O31" s="4"/>
      <c r="P31" s="4"/>
      <c r="Q31" s="4"/>
      <c r="R31" s="4"/>
      <c r="S31" s="4"/>
      <c r="T31" s="4"/>
      <c r="U31" s="4"/>
      <c r="V31" s="4"/>
      <c r="W31" s="5"/>
      <c r="AA31" s="3">
        <v>20</v>
      </c>
      <c r="AB31" s="25"/>
      <c r="AC31" s="25"/>
      <c r="AD31" s="4" t="str">
        <f>IF(AB31,AB31-$C$4," ")</f>
        <v xml:space="preserve"> </v>
      </c>
      <c r="AE31" s="4" t="str">
        <f>IF(AB31,INT(AD31)," ")</f>
        <v xml:space="preserve"> </v>
      </c>
      <c r="AF31" s="4" t="str">
        <f>IF(AB31,((AD31-AE31)/60*100)," ")</f>
        <v xml:space="preserve"> </v>
      </c>
      <c r="AG31" s="4" t="str">
        <f>IF(AB31,AC31*COS(PI()/180*(AE31+AF31))," ")</f>
        <v xml:space="preserve"> </v>
      </c>
      <c r="AH31" s="4" t="str">
        <f>IF(AB31,(AC31*SIN(PI()/180*(AE31+AF31)))," ")</f>
        <v xml:space="preserve"> </v>
      </c>
      <c r="AI31" s="4"/>
      <c r="AJ31" s="4"/>
      <c r="AK31" s="4" t="str">
        <f t="shared" si="9"/>
        <v xml:space="preserve"> </v>
      </c>
      <c r="AL31" s="4" t="str">
        <f t="shared" si="10"/>
        <v xml:space="preserve"> </v>
      </c>
      <c r="AM31" s="4" t="str">
        <f t="shared" si="11"/>
        <v xml:space="preserve"> </v>
      </c>
      <c r="AN31" s="4" t="str">
        <f t="shared" si="12"/>
        <v xml:space="preserve"> </v>
      </c>
      <c r="AO31" s="4"/>
      <c r="AP31" s="4"/>
      <c r="AQ31" s="4"/>
      <c r="AR31" s="4"/>
      <c r="AS31" s="4"/>
      <c r="AT31" s="4"/>
      <c r="AU31" s="4"/>
      <c r="AV31" s="4"/>
      <c r="AW31" s="5"/>
    </row>
    <row r="32" spans="1:49">
      <c r="A32" s="3">
        <v>21</v>
      </c>
      <c r="B32" s="25">
        <v>266.2</v>
      </c>
      <c r="C32" s="25">
        <v>156</v>
      </c>
      <c r="D32" s="4">
        <f t="shared" si="0"/>
        <v>-3.8000000000000114</v>
      </c>
      <c r="E32" s="4">
        <f t="shared" si="1"/>
        <v>-4</v>
      </c>
      <c r="F32" s="4">
        <f t="shared" si="2"/>
        <v>0.33333333333331439</v>
      </c>
      <c r="G32" s="4">
        <f t="shared" si="3"/>
        <v>155.68066687149715</v>
      </c>
      <c r="H32" s="4">
        <f>IF(B32,(C32*SIN(PI()/180*(E32+F32)))," ")</f>
        <v>-9.9764704402874109</v>
      </c>
      <c r="I32" s="4"/>
      <c r="J32" s="4"/>
      <c r="K32" s="4">
        <f t="shared" si="5"/>
        <v>-15.102358954110031</v>
      </c>
      <c r="L32" s="4">
        <f t="shared" si="6"/>
        <v>11.556397626672307</v>
      </c>
      <c r="M32" s="4">
        <f t="shared" si="7"/>
        <v>228.08124597878742</v>
      </c>
      <c r="N32" s="4">
        <f t="shared" si="8"/>
        <v>133.55032610575734</v>
      </c>
      <c r="O32" s="4"/>
      <c r="P32" s="4"/>
      <c r="Q32" s="4"/>
      <c r="R32" s="4"/>
      <c r="S32" s="4"/>
      <c r="T32" s="4"/>
      <c r="U32" s="4"/>
      <c r="V32" s="4"/>
      <c r="W32" s="5"/>
      <c r="AA32" s="3">
        <v>21</v>
      </c>
      <c r="AB32" s="25"/>
      <c r="AC32" s="25"/>
      <c r="AD32" s="4" t="str">
        <f>IF(AB32,AB32-$C$4," ")</f>
        <v xml:space="preserve"> </v>
      </c>
      <c r="AE32" s="4" t="str">
        <f>IF(AB32,INT(AD32)," ")</f>
        <v xml:space="preserve"> </v>
      </c>
      <c r="AF32" s="4" t="str">
        <f>IF(AB32,((AD32-AE32)/60*100)," ")</f>
        <v xml:space="preserve"> </v>
      </c>
      <c r="AG32" s="4" t="str">
        <f>IF(AB32,AC32*COS(PI()/180*(AE32+AF32))," ")</f>
        <v xml:space="preserve"> </v>
      </c>
      <c r="AH32" s="4" t="str">
        <f>IF(AB32,(AC32*SIN(PI()/180*(AE32+AF32)))," ")</f>
        <v xml:space="preserve"> </v>
      </c>
      <c r="AI32" s="4"/>
      <c r="AJ32" s="4"/>
      <c r="AK32" s="4" t="str">
        <f t="shared" si="9"/>
        <v xml:space="preserve"> </v>
      </c>
      <c r="AL32" s="4" t="str">
        <f t="shared" si="10"/>
        <v xml:space="preserve"> </v>
      </c>
      <c r="AM32" s="4" t="str">
        <f t="shared" si="11"/>
        <v xml:space="preserve"> </v>
      </c>
      <c r="AN32" s="4" t="str">
        <f t="shared" si="12"/>
        <v xml:space="preserve"> </v>
      </c>
      <c r="AO32" s="4"/>
      <c r="AP32" s="4"/>
      <c r="AQ32" s="4"/>
      <c r="AR32" s="4"/>
      <c r="AS32" s="4"/>
      <c r="AT32" s="4"/>
      <c r="AU32" s="4"/>
      <c r="AV32" s="4"/>
      <c r="AW32" s="5"/>
    </row>
    <row r="33" spans="1:49">
      <c r="A33" s="3">
        <v>22</v>
      </c>
      <c r="B33" s="25">
        <v>267.05</v>
      </c>
      <c r="C33" s="25">
        <v>176</v>
      </c>
      <c r="D33" s="4">
        <f t="shared" si="0"/>
        <v>-2.9499999999999886</v>
      </c>
      <c r="E33" s="4">
        <f t="shared" si="1"/>
        <v>-3</v>
      </c>
      <c r="F33" s="4">
        <f t="shared" si="2"/>
        <v>8.3333333333352286E-2</v>
      </c>
      <c r="G33" s="4">
        <f t="shared" si="3"/>
        <v>175.77200925519671</v>
      </c>
      <c r="H33" s="4">
        <f t="shared" si="4"/>
        <v>-8.9554878365747879</v>
      </c>
      <c r="I33" s="4"/>
      <c r="J33" s="4"/>
      <c r="K33" s="4">
        <f t="shared" si="5"/>
        <v>4.9889834295895241</v>
      </c>
      <c r="L33" s="4">
        <f t="shared" si="6"/>
        <v>12.57738023038493</v>
      </c>
      <c r="M33" s="4">
        <f t="shared" si="7"/>
        <v>24.889955660718851</v>
      </c>
      <c r="N33" s="4">
        <f t="shared" si="8"/>
        <v>158.1904934596777</v>
      </c>
      <c r="O33" s="4"/>
      <c r="P33" s="4"/>
      <c r="Q33" s="4"/>
      <c r="R33" s="4"/>
      <c r="S33" s="4"/>
      <c r="T33" s="4"/>
      <c r="U33" s="4"/>
      <c r="V33" s="4"/>
      <c r="W33" s="5"/>
      <c r="AA33" s="3">
        <v>22</v>
      </c>
      <c r="AB33" s="25"/>
      <c r="AC33" s="25"/>
      <c r="AD33" s="4" t="str">
        <f>IF(AB33,AB33-$C$4," ")</f>
        <v xml:space="preserve"> </v>
      </c>
      <c r="AE33" s="4" t="str">
        <f>IF(AB33,INT(AD33)," ")</f>
        <v xml:space="preserve"> </v>
      </c>
      <c r="AF33" s="4" t="str">
        <f>IF(AB33,((AD33-AE33)/60*100)," ")</f>
        <v xml:space="preserve"> </v>
      </c>
      <c r="AG33" s="4" t="str">
        <f>IF(AB33,AC33*COS(PI()/180*(AE33+AF33))," ")</f>
        <v xml:space="preserve"> </v>
      </c>
      <c r="AH33" s="4" t="str">
        <f>IF(AB33,(AC33*SIN(PI()/180*(AE33+AF33)))," ")</f>
        <v xml:space="preserve"> </v>
      </c>
      <c r="AI33" s="4"/>
      <c r="AJ33" s="4"/>
      <c r="AK33" s="4" t="str">
        <f t="shared" si="9"/>
        <v xml:space="preserve"> </v>
      </c>
      <c r="AL33" s="4" t="str">
        <f t="shared" si="10"/>
        <v xml:space="preserve"> </v>
      </c>
      <c r="AM33" s="4" t="str">
        <f t="shared" si="11"/>
        <v xml:space="preserve"> </v>
      </c>
      <c r="AN33" s="4" t="str">
        <f t="shared" si="12"/>
        <v xml:space="preserve"> </v>
      </c>
      <c r="AO33" s="4"/>
      <c r="AP33" s="4"/>
      <c r="AQ33" s="4"/>
      <c r="AR33" s="4"/>
      <c r="AS33" s="4"/>
      <c r="AT33" s="4"/>
      <c r="AU33" s="4"/>
      <c r="AV33" s="4"/>
      <c r="AW33" s="5"/>
    </row>
    <row r="34" spans="1:49" ht="15.75" thickBot="1">
      <c r="A34" s="3">
        <v>23</v>
      </c>
      <c r="B34" s="26">
        <v>270.39999999999998</v>
      </c>
      <c r="C34" s="26">
        <v>196</v>
      </c>
      <c r="D34" s="4">
        <f t="shared" si="0"/>
        <v>0.39999999999997726</v>
      </c>
      <c r="E34" s="4">
        <f t="shared" si="1"/>
        <v>0</v>
      </c>
      <c r="F34" s="4">
        <f t="shared" si="2"/>
        <v>0.66666666666662877</v>
      </c>
      <c r="G34" s="4">
        <f t="shared" si="3"/>
        <v>195.98673236873739</v>
      </c>
      <c r="H34" s="4">
        <f t="shared" si="4"/>
        <v>2.2805120970736854</v>
      </c>
      <c r="I34" s="4"/>
      <c r="J34" s="4"/>
      <c r="K34" s="4">
        <f>IF(B34,SUM(G34,-$I$12)," ")</f>
        <v>25.20370654313021</v>
      </c>
      <c r="L34" s="4">
        <f t="shared" si="6"/>
        <v>23.813380164033404</v>
      </c>
      <c r="M34" s="4">
        <f t="shared" si="7"/>
        <v>635.22682351222454</v>
      </c>
      <c r="N34" s="4">
        <f t="shared" si="8"/>
        <v>567.07707483677962</v>
      </c>
      <c r="O34" s="4"/>
      <c r="P34" s="4"/>
      <c r="Q34" s="4"/>
      <c r="R34" s="4"/>
      <c r="S34" s="4"/>
      <c r="T34" s="4"/>
      <c r="U34" s="4"/>
      <c r="V34" s="4"/>
      <c r="W34" s="5"/>
      <c r="AA34" s="3">
        <v>23</v>
      </c>
      <c r="AB34" s="26"/>
      <c r="AC34" s="26"/>
      <c r="AD34" s="4" t="str">
        <f>IF(AB34,AB34-$C$4," ")</f>
        <v xml:space="preserve"> </v>
      </c>
      <c r="AE34" s="4" t="str">
        <f>IF(AB34,INT(AD34)," ")</f>
        <v xml:space="preserve"> </v>
      </c>
      <c r="AF34" s="4" t="str">
        <f>IF(AB34,((AD34-AE34)/60*100)," ")</f>
        <v xml:space="preserve"> </v>
      </c>
      <c r="AG34" s="4" t="str">
        <f>IF(AB34,AC34*COS(PI()/180*(AE34+AF34))," ")</f>
        <v xml:space="preserve"> </v>
      </c>
      <c r="AH34" s="4" t="str">
        <f>IF(AB34,(AC34*SIN(PI()/180*(AE34+AF34)))," ")</f>
        <v xml:space="preserve"> </v>
      </c>
      <c r="AI34" s="4"/>
      <c r="AJ34" s="4"/>
      <c r="AK34" s="4" t="str">
        <f>IF(AB34,SUM(AG34,-$I$12)," ")</f>
        <v xml:space="preserve"> </v>
      </c>
      <c r="AL34" s="4" t="str">
        <f t="shared" si="10"/>
        <v xml:space="preserve"> </v>
      </c>
      <c r="AM34" s="4" t="str">
        <f t="shared" si="11"/>
        <v xml:space="preserve"> </v>
      </c>
      <c r="AN34" s="4" t="str">
        <f t="shared" si="12"/>
        <v xml:space="preserve"> </v>
      </c>
      <c r="AO34" s="4"/>
      <c r="AP34" s="4"/>
      <c r="AQ34" s="4"/>
      <c r="AR34" s="4"/>
      <c r="AS34" s="4"/>
      <c r="AT34" s="4"/>
      <c r="AU34" s="4"/>
      <c r="AV34" s="4"/>
      <c r="AW34" s="5"/>
    </row>
    <row r="35" spans="1:49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  <c r="AA35" s="6">
        <v>24</v>
      </c>
      <c r="AB35" s="26"/>
      <c r="AC35" s="26"/>
      <c r="AD35" s="7" t="str">
        <f>IF(AB35,AB35-$C$4," ")</f>
        <v xml:space="preserve"> </v>
      </c>
      <c r="AE35" s="7" t="str">
        <f>IF(AB35,INT(AD35)," ")</f>
        <v xml:space="preserve"> </v>
      </c>
      <c r="AF35" s="7" t="str">
        <f>IF(AB35,((AD35-AE35)/60*100)," ")</f>
        <v xml:space="preserve"> </v>
      </c>
      <c r="AG35" s="7" t="str">
        <f>IF(AB35,AC35*COS(PI()/180*(AE35+AF35))," ")</f>
        <v xml:space="preserve"> </v>
      </c>
      <c r="AH35" s="7" t="str">
        <f>IF(AB35,(AC35*SIN(PI()/180*(AE35+AF35)))," ")</f>
        <v xml:space="preserve"> </v>
      </c>
      <c r="AI35" s="7"/>
      <c r="AJ35" s="7"/>
      <c r="AK35" s="7" t="str">
        <f t="shared" si="9"/>
        <v xml:space="preserve"> </v>
      </c>
      <c r="AL35" s="7" t="str">
        <f t="shared" si="10"/>
        <v xml:space="preserve"> </v>
      </c>
      <c r="AM35" s="7" t="str">
        <f t="shared" si="11"/>
        <v xml:space="preserve"> </v>
      </c>
      <c r="AN35" s="7" t="str">
        <f>IF(AB35,POWER(AL35,2)," ")</f>
        <v xml:space="preserve"> </v>
      </c>
      <c r="AO35" s="7"/>
      <c r="AP35" s="7"/>
      <c r="AQ35" s="7"/>
      <c r="AR35" s="7"/>
      <c r="AS35" s="7"/>
      <c r="AT35" s="7"/>
      <c r="AU35" s="7"/>
      <c r="AV35" s="7"/>
      <c r="AW35" s="8"/>
    </row>
    <row r="36" spans="1:49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AA36" s="115" t="s">
        <v>92</v>
      </c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</row>
    <row r="37" spans="1:49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  <c r="AA37" s="1" t="s">
        <v>2</v>
      </c>
      <c r="AB37" s="23" t="s">
        <v>0</v>
      </c>
      <c r="AC37" s="23" t="s">
        <v>1</v>
      </c>
      <c r="AD37" s="11" t="s">
        <v>51</v>
      </c>
      <c r="AE37" s="2" t="s">
        <v>4</v>
      </c>
      <c r="AF37" s="11" t="s">
        <v>5</v>
      </c>
      <c r="AG37" s="2" t="s">
        <v>3</v>
      </c>
      <c r="AH37" s="2" t="s">
        <v>21</v>
      </c>
      <c r="AI37" s="2" t="s">
        <v>6</v>
      </c>
      <c r="AJ37" s="2" t="s">
        <v>7</v>
      </c>
      <c r="AK37" s="2" t="s">
        <v>8</v>
      </c>
      <c r="AL37" s="2" t="s">
        <v>9</v>
      </c>
      <c r="AM37" s="2" t="s">
        <v>10</v>
      </c>
      <c r="AN37" s="2" t="s">
        <v>11</v>
      </c>
      <c r="AO37" s="2" t="s">
        <v>12</v>
      </c>
      <c r="AP37" s="2" t="s">
        <v>13</v>
      </c>
      <c r="AQ37" s="2" t="s">
        <v>14</v>
      </c>
      <c r="AR37" s="2" t="s">
        <v>15</v>
      </c>
      <c r="AS37" s="2" t="s">
        <v>16</v>
      </c>
      <c r="AT37" s="12" t="s">
        <v>17</v>
      </c>
      <c r="AU37" s="12" t="s">
        <v>18</v>
      </c>
      <c r="AV37" s="13" t="s">
        <v>19</v>
      </c>
      <c r="AW37" s="9" t="s">
        <v>22</v>
      </c>
    </row>
    <row r="38" spans="1:49">
      <c r="A38" s="3">
        <v>1</v>
      </c>
      <c r="B38" s="25">
        <v>277.05</v>
      </c>
      <c r="C38" s="25">
        <v>124</v>
      </c>
      <c r="D38" s="4">
        <f t="shared" ref="D38:D61" si="13">IF(B38,B38-$C$4," ")</f>
        <v>7.0500000000000114</v>
      </c>
      <c r="E38" s="4">
        <f t="shared" ref="E38:E61" si="14">IF(B38,INT(D38)," ")</f>
        <v>7</v>
      </c>
      <c r="F38" s="4">
        <f t="shared" ref="F38:F61" si="15">IF(B38,((D38-E38)/60*100)," ")</f>
        <v>8.3333333333352286E-2</v>
      </c>
      <c r="G38" s="4">
        <f t="shared" ref="G38:G61" si="16">IF(B38,C38*COS(PI()/180*(E38+F38))," ")</f>
        <v>123.0536134140845</v>
      </c>
      <c r="H38" s="4">
        <f t="shared" ref="H38:H61" si="17">IF(B38,(C38*SIN(PI()/180*(E38+F38)))," ")</f>
        <v>15.290788918072382</v>
      </c>
      <c r="I38" s="4">
        <f>SUM(G38:G61)/E6</f>
        <v>106.54217662425573</v>
      </c>
      <c r="J38" s="4">
        <f>SUM(H38:H61)/E6</f>
        <v>23.722546982080203</v>
      </c>
      <c r="K38" s="4">
        <f t="shared" ref="K38:K61" si="18">IF(B38,SUM(G38,-$I$12)," ")</f>
        <v>-47.729412411522688</v>
      </c>
      <c r="L38" s="4">
        <f t="shared" ref="L38:L61" si="19">IF(B38,SUM(H38,-$J$12)," ")</f>
        <v>36.823656985032102</v>
      </c>
      <c r="M38" s="4">
        <f t="shared" ref="M38:M61" si="20">IF(B38,POWER(K38,2)," ")</f>
        <v>2278.0968091492159</v>
      </c>
      <c r="N38" s="4">
        <f t="shared" ref="N38:N61" si="21">IF(B38,POWER(L38,2)," ")</f>
        <v>1355.9817137513035</v>
      </c>
      <c r="O38" s="4">
        <f>E6-1</f>
        <v>23</v>
      </c>
      <c r="P38" s="4">
        <f>SUM(M38:M61)</f>
        <v>103445.00275570773</v>
      </c>
      <c r="Q38" s="4">
        <f>SUM(N38:N61)</f>
        <v>51197.669137585275</v>
      </c>
      <c r="R38" s="4">
        <f>PRODUCT(P38,1/$O$38)</f>
        <v>4497.6088154655536</v>
      </c>
      <c r="S38" s="4">
        <f>PRODUCT(Q38,1/$O$38)</f>
        <v>2225.9856146776206</v>
      </c>
      <c r="T38" s="4">
        <f>SQRT(R38)</f>
        <v>67.064214119495603</v>
      </c>
      <c r="U38" s="4">
        <f>SQRT(S38)</f>
        <v>47.180351998237789</v>
      </c>
      <c r="V38" s="4">
        <f>PRODUCT(T38:U38)</f>
        <v>3164.1132286429911</v>
      </c>
      <c r="W38" s="10">
        <f>SQRT(V38)</f>
        <v>56.250450919463667</v>
      </c>
      <c r="AA38" s="3">
        <v>1</v>
      </c>
      <c r="AB38" s="25">
        <v>223.3</v>
      </c>
      <c r="AC38" s="25">
        <v>166</v>
      </c>
      <c r="AD38" s="4">
        <f t="shared" ref="AD38:AD61" si="22">IF(AB38,AB38-$C$4," ")</f>
        <v>-46.699999999999989</v>
      </c>
      <c r="AE38" s="4">
        <f t="shared" ref="AE38:AE61" si="23">IF(AB38,INT(AD38)," ")</f>
        <v>-47</v>
      </c>
      <c r="AF38" s="4">
        <f t="shared" ref="AF38:AF61" si="24">IF(AB38,((AD38-AE38)/60*100)," ")</f>
        <v>0.50000000000001887</v>
      </c>
      <c r="AG38" s="4">
        <f t="shared" ref="AG38:AG61" si="25">IF(AB38,AC38*COS(PI()/180*(AE38+AF38))," ")</f>
        <v>114.26685956516323</v>
      </c>
      <c r="AH38" s="4">
        <f t="shared" ref="AH38:AH61" si="26">IF(AB38,(AC38*SIN(PI()/180*(AE38+AF38)))," ")</f>
        <v>-120.41214558803969</v>
      </c>
      <c r="AI38" s="4">
        <f>SUM(AG38:AG61)/E8</f>
        <v>82.049095727011775</v>
      </c>
      <c r="AJ38" s="4">
        <f>SUM(AH38:AH61)/E8</f>
        <v>-117.80354302772788</v>
      </c>
      <c r="AK38" s="4">
        <f t="shared" ref="AK38:AK61" si="27">IF(AB38,SUM(AG38,-$I$12)," ")</f>
        <v>-56.516166260443953</v>
      </c>
      <c r="AL38" s="4">
        <f t="shared" ref="AL38:AL61" si="28">IF(AB38,SUM(AH38,-$J$12)," ")</f>
        <v>-98.87927752107997</v>
      </c>
      <c r="AM38" s="4">
        <f t="shared" ref="AM38:AM61" si="29">IF(AB38,POWER(AK38,2)," ")</f>
        <v>3194.0770487781433</v>
      </c>
      <c r="AN38" s="4">
        <f t="shared" ref="AN38:AN61" si="30">IF(AB38,POWER(AL38,2)," ")</f>
        <v>9777.1115230907508</v>
      </c>
      <c r="AO38" s="4">
        <f>E8-1</f>
        <v>23</v>
      </c>
      <c r="AP38" s="4">
        <f>SUM(AM38:AM61)</f>
        <v>194480.72373823158</v>
      </c>
      <c r="AQ38" s="4">
        <f>SUM(AN38:AN61)</f>
        <v>226503.86062908554</v>
      </c>
      <c r="AR38" s="4">
        <f>PRODUCT(AP38,1/$O$38)</f>
        <v>8455.6836407926767</v>
      </c>
      <c r="AS38" s="4">
        <f>PRODUCT(AQ38,1/$O$38)</f>
        <v>9847.9939403950229</v>
      </c>
      <c r="AT38" s="4">
        <f>SQRT(AR38)</f>
        <v>91.954791287853382</v>
      </c>
      <c r="AU38" s="4">
        <f>SQRT(AS38)</f>
        <v>99.237059309488927</v>
      </c>
      <c r="AV38" s="4">
        <f>PRODUCT(AT38:AU38)</f>
        <v>9125.3230768243811</v>
      </c>
      <c r="AW38" s="10">
        <f>SQRT(AV38)</f>
        <v>95.526556919133128</v>
      </c>
    </row>
    <row r="39" spans="1:49">
      <c r="A39" s="3">
        <v>2</v>
      </c>
      <c r="B39" s="25">
        <v>278.2</v>
      </c>
      <c r="C39" s="25">
        <v>124</v>
      </c>
      <c r="D39" s="4">
        <f t="shared" si="13"/>
        <v>8.1999999999999886</v>
      </c>
      <c r="E39" s="4">
        <f t="shared" si="14"/>
        <v>8</v>
      </c>
      <c r="F39" s="4">
        <f t="shared" si="15"/>
        <v>0.33333333333331439</v>
      </c>
      <c r="G39" s="4">
        <f t="shared" si="16"/>
        <v>122.69076318403712</v>
      </c>
      <c r="H39" s="4">
        <f t="shared" si="17"/>
        <v>17.971550554098553</v>
      </c>
      <c r="I39" s="4"/>
      <c r="J39" s="4"/>
      <c r="K39" s="4">
        <f t="shared" si="18"/>
        <v>-48.092262641570059</v>
      </c>
      <c r="L39" s="4">
        <f t="shared" si="19"/>
        <v>39.504418621058271</v>
      </c>
      <c r="M39" s="4">
        <f t="shared" si="20"/>
        <v>2312.865725985755</v>
      </c>
      <c r="N39" s="4">
        <f t="shared" si="21"/>
        <v>1560.5990905878155</v>
      </c>
      <c r="O39" s="4"/>
      <c r="P39" s="4"/>
      <c r="Q39" s="4"/>
      <c r="R39" s="4"/>
      <c r="S39" s="4"/>
      <c r="T39" s="4"/>
      <c r="U39" s="4"/>
      <c r="V39" s="4"/>
      <c r="W39" s="5"/>
      <c r="AA39" s="3">
        <v>2</v>
      </c>
      <c r="AB39" s="25">
        <v>222.25</v>
      </c>
      <c r="AC39" s="25">
        <v>160</v>
      </c>
      <c r="AD39" s="4">
        <f t="shared" si="22"/>
        <v>-47.75</v>
      </c>
      <c r="AE39" s="4">
        <f t="shared" si="23"/>
        <v>-48</v>
      </c>
      <c r="AF39" s="4">
        <f t="shared" si="24"/>
        <v>0.41666666666666669</v>
      </c>
      <c r="AG39" s="4">
        <f t="shared" si="25"/>
        <v>107.92274672056641</v>
      </c>
      <c r="AH39" s="4">
        <f t="shared" si="26"/>
        <v>-118.12146604359631</v>
      </c>
      <c r="AI39" s="4"/>
      <c r="AJ39" s="4"/>
      <c r="AK39" s="4">
        <f t="shared" si="27"/>
        <v>-62.860279105040775</v>
      </c>
      <c r="AL39" s="4">
        <f t="shared" si="28"/>
        <v>-96.588597976636592</v>
      </c>
      <c r="AM39" s="4">
        <f t="shared" si="29"/>
        <v>3951.414689163626</v>
      </c>
      <c r="AN39" s="4">
        <f t="shared" si="30"/>
        <v>9329.3572590923268</v>
      </c>
      <c r="AO39" s="4"/>
      <c r="AP39" s="4"/>
      <c r="AQ39" s="4"/>
      <c r="AR39" s="4"/>
      <c r="AS39" s="4"/>
      <c r="AT39" s="4"/>
      <c r="AU39" s="4"/>
      <c r="AV39" s="4"/>
      <c r="AW39" s="5"/>
    </row>
    <row r="40" spans="1:49">
      <c r="A40" s="3">
        <v>3</v>
      </c>
      <c r="B40" s="25">
        <v>278.35000000000002</v>
      </c>
      <c r="C40" s="25">
        <v>134</v>
      </c>
      <c r="D40" s="4">
        <f t="shared" si="13"/>
        <v>8.3500000000000227</v>
      </c>
      <c r="E40" s="4">
        <f t="shared" si="14"/>
        <v>8</v>
      </c>
      <c r="F40" s="4">
        <f t="shared" si="15"/>
        <v>0.58333333333337123</v>
      </c>
      <c r="G40" s="4">
        <f t="shared" si="16"/>
        <v>132.49917819582805</v>
      </c>
      <c r="H40" s="4">
        <f t="shared" si="17"/>
        <v>19.999194419531062</v>
      </c>
      <c r="I40" s="4"/>
      <c r="J40" s="4"/>
      <c r="K40" s="4">
        <f t="shared" si="18"/>
        <v>-38.283847629779132</v>
      </c>
      <c r="L40" s="4">
        <f t="shared" si="19"/>
        <v>41.53206248649078</v>
      </c>
      <c r="M40" s="4">
        <f t="shared" si="20"/>
        <v>1465.6529893401453</v>
      </c>
      <c r="N40" s="4">
        <f t="shared" si="21"/>
        <v>1724.9122143817747</v>
      </c>
      <c r="O40" s="4"/>
      <c r="P40" s="4"/>
      <c r="Q40" s="4"/>
      <c r="R40" s="4"/>
      <c r="S40" s="4"/>
      <c r="T40" s="4"/>
      <c r="U40" s="4"/>
      <c r="V40" s="4"/>
      <c r="W40" s="5"/>
      <c r="AA40" s="3">
        <v>3</v>
      </c>
      <c r="AB40" s="25">
        <v>220.1</v>
      </c>
      <c r="AC40" s="25">
        <v>158</v>
      </c>
      <c r="AD40" s="4">
        <f t="shared" si="22"/>
        <v>-49.900000000000006</v>
      </c>
      <c r="AE40" s="4">
        <f t="shared" si="23"/>
        <v>-50</v>
      </c>
      <c r="AF40" s="4">
        <f t="shared" si="24"/>
        <v>0.16666666666665719</v>
      </c>
      <c r="AG40" s="4">
        <f t="shared" si="25"/>
        <v>101.91208875998076</v>
      </c>
      <c r="AH40" s="4">
        <f t="shared" si="26"/>
        <v>-120.73908300371426</v>
      </c>
      <c r="AI40" s="4"/>
      <c r="AJ40" s="4"/>
      <c r="AK40" s="4">
        <f t="shared" si="27"/>
        <v>-68.870937065626421</v>
      </c>
      <c r="AL40" s="4">
        <f t="shared" si="28"/>
        <v>-99.206214936754535</v>
      </c>
      <c r="AM40" s="4">
        <f t="shared" si="29"/>
        <v>4743.2059722974755</v>
      </c>
      <c r="AN40" s="4">
        <f t="shared" si="30"/>
        <v>9841.8730820775381</v>
      </c>
      <c r="AO40" s="4"/>
      <c r="AP40" s="4"/>
      <c r="AQ40" s="4"/>
      <c r="AR40" s="4"/>
      <c r="AS40" s="4"/>
      <c r="AT40" s="4"/>
      <c r="AU40" s="4"/>
      <c r="AV40" s="4"/>
      <c r="AW40" s="5"/>
    </row>
    <row r="41" spans="1:49">
      <c r="A41" s="3">
        <v>4</v>
      </c>
      <c r="B41" s="25">
        <v>279.14999999999998</v>
      </c>
      <c r="C41" s="25">
        <v>124</v>
      </c>
      <c r="D41" s="4">
        <f t="shared" si="13"/>
        <v>9.1499999999999773</v>
      </c>
      <c r="E41" s="4">
        <f t="shared" si="14"/>
        <v>9</v>
      </c>
      <c r="F41" s="4">
        <f t="shared" si="15"/>
        <v>0.24999999999996211</v>
      </c>
      <c r="G41" s="4">
        <f t="shared" si="16"/>
        <v>122.38754945346878</v>
      </c>
      <c r="H41" s="4">
        <f t="shared" si="17"/>
        <v>19.932078134874356</v>
      </c>
      <c r="I41" s="4"/>
      <c r="J41" s="4"/>
      <c r="K41" s="4">
        <f t="shared" si="18"/>
        <v>-48.395476372138404</v>
      </c>
      <c r="L41" s="4">
        <f t="shared" si="19"/>
        <v>41.464946201834074</v>
      </c>
      <c r="M41" s="4">
        <f t="shared" si="20"/>
        <v>2342.1221332862065</v>
      </c>
      <c r="N41" s="4">
        <f t="shared" si="21"/>
        <v>1719.3417635209939</v>
      </c>
      <c r="O41" s="4"/>
      <c r="P41" s="4"/>
      <c r="Q41" s="4"/>
      <c r="R41" s="4"/>
      <c r="S41" s="4"/>
      <c r="T41" s="4"/>
      <c r="U41" s="4"/>
      <c r="V41" s="4"/>
      <c r="W41" s="5"/>
      <c r="AA41" s="3">
        <v>4</v>
      </c>
      <c r="AB41" s="25">
        <v>218</v>
      </c>
      <c r="AC41" s="25">
        <v>154</v>
      </c>
      <c r="AD41" s="4">
        <f t="shared" si="22"/>
        <v>-52</v>
      </c>
      <c r="AE41" s="4">
        <f t="shared" si="23"/>
        <v>-52</v>
      </c>
      <c r="AF41" s="4">
        <f t="shared" si="24"/>
        <v>0</v>
      </c>
      <c r="AG41" s="4">
        <f t="shared" si="25"/>
        <v>94.811867200151383</v>
      </c>
      <c r="AH41" s="4">
        <f t="shared" si="26"/>
        <v>-121.3536560554352</v>
      </c>
      <c r="AI41" s="4"/>
      <c r="AJ41" s="4"/>
      <c r="AK41" s="4">
        <f t="shared" si="27"/>
        <v>-75.9711586254558</v>
      </c>
      <c r="AL41" s="4">
        <f t="shared" si="28"/>
        <v>-99.820787988475473</v>
      </c>
      <c r="AM41" s="4">
        <f t="shared" si="29"/>
        <v>5771.6169428941676</v>
      </c>
      <c r="AN41" s="4">
        <f t="shared" si="30"/>
        <v>9964.1897146401698</v>
      </c>
      <c r="AO41" s="4"/>
      <c r="AP41" s="4"/>
      <c r="AQ41" s="4"/>
      <c r="AR41" s="4"/>
      <c r="AS41" s="4"/>
      <c r="AT41" s="4"/>
      <c r="AU41" s="4"/>
      <c r="AV41" s="4"/>
      <c r="AW41" s="5"/>
    </row>
    <row r="42" spans="1:49">
      <c r="A42" s="3">
        <v>5</v>
      </c>
      <c r="B42" s="25">
        <v>282.45</v>
      </c>
      <c r="C42" s="25">
        <v>130</v>
      </c>
      <c r="D42" s="4">
        <f t="shared" si="13"/>
        <v>12.449999999999989</v>
      </c>
      <c r="E42" s="4">
        <f t="shared" si="14"/>
        <v>12</v>
      </c>
      <c r="F42" s="4">
        <f t="shared" si="15"/>
        <v>0.74999999999998102</v>
      </c>
      <c r="G42" s="4">
        <f t="shared" si="16"/>
        <v>126.79450166610665</v>
      </c>
      <c r="H42" s="4">
        <f t="shared" si="17"/>
        <v>28.690666552795101</v>
      </c>
      <c r="I42" s="4"/>
      <c r="J42" s="4"/>
      <c r="K42" s="4">
        <f t="shared" si="18"/>
        <v>-43.988524159500528</v>
      </c>
      <c r="L42" s="4">
        <f t="shared" si="19"/>
        <v>50.223534619754815</v>
      </c>
      <c r="M42" s="4">
        <f t="shared" si="20"/>
        <v>1934.9902577309617</v>
      </c>
      <c r="N42" s="4">
        <f t="shared" si="21"/>
        <v>2522.4034297017106</v>
      </c>
      <c r="O42" s="4"/>
      <c r="P42" s="4"/>
      <c r="Q42" s="4"/>
      <c r="R42" s="4"/>
      <c r="S42" s="4"/>
      <c r="T42" s="4"/>
      <c r="U42" s="4"/>
      <c r="V42" s="4"/>
      <c r="W42" s="5"/>
      <c r="AA42" s="3">
        <v>5</v>
      </c>
      <c r="AB42" s="25">
        <v>220</v>
      </c>
      <c r="AC42" s="25">
        <v>144</v>
      </c>
      <c r="AD42" s="4">
        <f t="shared" si="22"/>
        <v>-50</v>
      </c>
      <c r="AE42" s="4">
        <f t="shared" si="23"/>
        <v>-50</v>
      </c>
      <c r="AF42" s="4">
        <f t="shared" si="24"/>
        <v>0</v>
      </c>
      <c r="AG42" s="4">
        <f t="shared" si="25"/>
        <v>92.561415794861674</v>
      </c>
      <c r="AH42" s="4">
        <f t="shared" si="26"/>
        <v>-110.31039980913283</v>
      </c>
      <c r="AI42" s="4"/>
      <c r="AJ42" s="4"/>
      <c r="AK42" s="4">
        <f t="shared" si="27"/>
        <v>-78.221610030745509</v>
      </c>
      <c r="AL42" s="4">
        <f t="shared" si="28"/>
        <v>-88.77753174217311</v>
      </c>
      <c r="AM42" s="4">
        <f t="shared" si="29"/>
        <v>6118.6202758020263</v>
      </c>
      <c r="AN42" s="4">
        <f t="shared" si="30"/>
        <v>7881.4501422325538</v>
      </c>
      <c r="AO42" s="4"/>
      <c r="AP42" s="4"/>
      <c r="AQ42" s="4"/>
      <c r="AR42" s="4"/>
      <c r="AS42" s="4"/>
      <c r="AT42" s="4"/>
      <c r="AU42" s="4"/>
      <c r="AV42" s="4"/>
      <c r="AW42" s="5"/>
    </row>
    <row r="43" spans="1:49">
      <c r="A43" s="3">
        <v>6</v>
      </c>
      <c r="B43" s="25">
        <v>281.14999999999998</v>
      </c>
      <c r="C43" s="25">
        <v>122</v>
      </c>
      <c r="D43" s="4">
        <f t="shared" si="13"/>
        <v>11.149999999999977</v>
      </c>
      <c r="E43" s="4">
        <f t="shared" si="14"/>
        <v>11</v>
      </c>
      <c r="F43" s="4">
        <f t="shared" si="15"/>
        <v>0.24999999999996211</v>
      </c>
      <c r="G43" s="4">
        <f t="shared" si="16"/>
        <v>119.65580420919413</v>
      </c>
      <c r="H43" s="4">
        <f t="shared" si="17"/>
        <v>23.801019285967573</v>
      </c>
      <c r="I43" s="4"/>
      <c r="J43" s="4"/>
      <c r="K43" s="4">
        <f t="shared" si="18"/>
        <v>-51.127221616413053</v>
      </c>
      <c r="L43" s="4">
        <f t="shared" si="19"/>
        <v>45.333887352927292</v>
      </c>
      <c r="M43" s="4">
        <f t="shared" si="20"/>
        <v>2613.9927902138143</v>
      </c>
      <c r="N43" s="4">
        <f t="shared" si="21"/>
        <v>2055.1613425279011</v>
      </c>
      <c r="O43" s="4"/>
      <c r="P43" s="4"/>
      <c r="Q43" s="4"/>
      <c r="R43" s="4"/>
      <c r="S43" s="4"/>
      <c r="T43" s="4"/>
      <c r="U43" s="4"/>
      <c r="V43" s="4"/>
      <c r="W43" s="5"/>
      <c r="AA43" s="3">
        <v>6</v>
      </c>
      <c r="AB43" s="25">
        <v>218.15</v>
      </c>
      <c r="AC43" s="25">
        <v>140</v>
      </c>
      <c r="AD43" s="4">
        <f t="shared" si="22"/>
        <v>-51.849999999999994</v>
      </c>
      <c r="AE43" s="4">
        <f t="shared" si="23"/>
        <v>-52</v>
      </c>
      <c r="AF43" s="4">
        <f t="shared" si="24"/>
        <v>0.25000000000000944</v>
      </c>
      <c r="AG43" s="4">
        <f t="shared" si="25"/>
        <v>86.673152903376774</v>
      </c>
      <c r="AH43" s="4">
        <f t="shared" si="26"/>
        <v>-109.94437032330427</v>
      </c>
      <c r="AI43" s="4"/>
      <c r="AJ43" s="4"/>
      <c r="AK43" s="4">
        <f t="shared" si="27"/>
        <v>-84.109872922230409</v>
      </c>
      <c r="AL43" s="4">
        <f t="shared" si="28"/>
        <v>-88.411502256344548</v>
      </c>
      <c r="AM43" s="4">
        <f t="shared" si="29"/>
        <v>7074.4707229937485</v>
      </c>
      <c r="AN43" s="4">
        <f t="shared" si="30"/>
        <v>7816.5937312236174</v>
      </c>
      <c r="AO43" s="4"/>
      <c r="AP43" s="4"/>
      <c r="AQ43" s="4"/>
      <c r="AR43" s="4"/>
      <c r="AS43" s="4"/>
      <c r="AT43" s="4"/>
      <c r="AU43" s="4"/>
      <c r="AV43" s="4"/>
      <c r="AW43" s="5"/>
    </row>
    <row r="44" spans="1:49">
      <c r="A44" s="3">
        <v>7</v>
      </c>
      <c r="B44" s="25">
        <v>280.3</v>
      </c>
      <c r="C44" s="25">
        <v>118</v>
      </c>
      <c r="D44" s="4">
        <f t="shared" si="13"/>
        <v>10.300000000000011</v>
      </c>
      <c r="E44" s="4">
        <f t="shared" si="14"/>
        <v>10</v>
      </c>
      <c r="F44" s="4">
        <f t="shared" si="15"/>
        <v>0.50000000000001887</v>
      </c>
      <c r="G44" s="4">
        <f t="shared" si="16"/>
        <v>116.02407909254663</v>
      </c>
      <c r="H44" s="4">
        <f t="shared" si="17"/>
        <v>21.503792008073436</v>
      </c>
      <c r="I44" s="4"/>
      <c r="J44" s="4"/>
      <c r="K44" s="4">
        <f t="shared" si="18"/>
        <v>-54.758946733060554</v>
      </c>
      <c r="L44" s="4">
        <f t="shared" si="19"/>
        <v>43.036660075033154</v>
      </c>
      <c r="M44" s="4">
        <f t="shared" si="20"/>
        <v>2998.542247314163</v>
      </c>
      <c r="N44" s="4">
        <f t="shared" si="21"/>
        <v>1852.1541104139526</v>
      </c>
      <c r="O44" s="4"/>
      <c r="P44" s="4"/>
      <c r="Q44" s="4"/>
      <c r="R44" s="4"/>
      <c r="S44" s="4"/>
      <c r="T44" s="4"/>
      <c r="U44" s="4"/>
      <c r="V44" s="4"/>
      <c r="W44" s="5"/>
      <c r="AA44" s="3">
        <v>7</v>
      </c>
      <c r="AB44" s="25">
        <v>217.05</v>
      </c>
      <c r="AC44" s="25">
        <v>138</v>
      </c>
      <c r="AD44" s="4">
        <f t="shared" si="22"/>
        <v>-52.949999999999989</v>
      </c>
      <c r="AE44" s="4">
        <f t="shared" si="23"/>
        <v>-53</v>
      </c>
      <c r="AF44" s="4">
        <f t="shared" si="24"/>
        <v>8.3333333333352286E-2</v>
      </c>
      <c r="AG44" s="4">
        <f t="shared" si="25"/>
        <v>83.210681716546716</v>
      </c>
      <c r="AH44" s="4">
        <f t="shared" si="26"/>
        <v>-110.09079184140496</v>
      </c>
      <c r="AI44" s="4"/>
      <c r="AJ44" s="4"/>
      <c r="AK44" s="4">
        <f t="shared" si="27"/>
        <v>-87.572344109060467</v>
      </c>
      <c r="AL44" s="4">
        <f t="shared" si="28"/>
        <v>-88.557923774445243</v>
      </c>
      <c r="AM44" s="4">
        <f t="shared" si="29"/>
        <v>7668.9154527556975</v>
      </c>
      <c r="AN44" s="4">
        <f t="shared" si="30"/>
        <v>7842.5058632404543</v>
      </c>
      <c r="AO44" s="4"/>
      <c r="AP44" s="4"/>
      <c r="AQ44" s="4"/>
      <c r="AR44" s="4"/>
      <c r="AS44" s="4"/>
      <c r="AT44" s="4"/>
      <c r="AU44" s="4"/>
      <c r="AV44" s="4"/>
      <c r="AW44" s="5"/>
    </row>
    <row r="45" spans="1:49">
      <c r="A45" s="3">
        <v>8</v>
      </c>
      <c r="B45" s="25">
        <v>285.2</v>
      </c>
      <c r="C45" s="25">
        <v>128</v>
      </c>
      <c r="D45" s="4">
        <f t="shared" si="13"/>
        <v>15.199999999999989</v>
      </c>
      <c r="E45" s="4">
        <f t="shared" si="14"/>
        <v>15</v>
      </c>
      <c r="F45" s="4">
        <f t="shared" si="15"/>
        <v>0.33333333333331439</v>
      </c>
      <c r="G45" s="4">
        <f t="shared" si="16"/>
        <v>123.44367873471219</v>
      </c>
      <c r="H45" s="4">
        <f t="shared" si="17"/>
        <v>33.847572740761848</v>
      </c>
      <c r="I45" s="4"/>
      <c r="J45" s="4"/>
      <c r="K45" s="4">
        <f t="shared" si="18"/>
        <v>-47.339347090894989</v>
      </c>
      <c r="L45" s="4">
        <f t="shared" si="19"/>
        <v>55.38044080772157</v>
      </c>
      <c r="M45" s="4">
        <f t="shared" si="20"/>
        <v>2241.0137829922278</v>
      </c>
      <c r="N45" s="4">
        <f t="shared" si="21"/>
        <v>3066.9932240575527</v>
      </c>
      <c r="O45" s="4"/>
      <c r="P45" s="4"/>
      <c r="Q45" s="4"/>
      <c r="R45" s="4"/>
      <c r="S45" s="4"/>
      <c r="T45" s="4"/>
      <c r="U45" s="4"/>
      <c r="V45" s="4"/>
      <c r="W45" s="5"/>
      <c r="AA45" s="3">
        <v>8</v>
      </c>
      <c r="AB45" s="25">
        <v>208.05</v>
      </c>
      <c r="AC45" s="25">
        <v>134</v>
      </c>
      <c r="AD45" s="4">
        <f t="shared" si="22"/>
        <v>-61.949999999999989</v>
      </c>
      <c r="AE45" s="4">
        <f t="shared" si="23"/>
        <v>-62</v>
      </c>
      <c r="AF45" s="4">
        <f t="shared" si="24"/>
        <v>8.3333333333352286E-2</v>
      </c>
      <c r="AG45" s="4">
        <f t="shared" si="25"/>
        <v>63.081204972874197</v>
      </c>
      <c r="AH45" s="4">
        <f t="shared" si="26"/>
        <v>-118.22335462661441</v>
      </c>
      <c r="AI45" s="4"/>
      <c r="AJ45" s="4"/>
      <c r="AK45" s="4">
        <f t="shared" si="27"/>
        <v>-107.70182085273299</v>
      </c>
      <c r="AL45" s="4">
        <f t="shared" si="28"/>
        <v>-96.690486559654687</v>
      </c>
      <c r="AM45" s="4">
        <f t="shared" si="29"/>
        <v>11599.682214994191</v>
      </c>
      <c r="AN45" s="4">
        <f t="shared" si="30"/>
        <v>9349.0501911427637</v>
      </c>
      <c r="AO45" s="4"/>
      <c r="AP45" s="4"/>
      <c r="AQ45" s="4"/>
      <c r="AR45" s="4"/>
      <c r="AS45" s="4"/>
      <c r="AT45" s="4"/>
      <c r="AU45" s="4"/>
      <c r="AV45" s="4"/>
      <c r="AW45" s="5"/>
    </row>
    <row r="46" spans="1:49">
      <c r="A46" s="3">
        <v>9</v>
      </c>
      <c r="B46" s="25">
        <v>286.10000000000002</v>
      </c>
      <c r="C46" s="25">
        <v>118</v>
      </c>
      <c r="D46" s="4">
        <f t="shared" si="13"/>
        <v>16.100000000000023</v>
      </c>
      <c r="E46" s="4">
        <f t="shared" si="14"/>
        <v>16</v>
      </c>
      <c r="F46" s="4">
        <f t="shared" si="15"/>
        <v>0.16666666666670457</v>
      </c>
      <c r="G46" s="4">
        <f t="shared" si="16"/>
        <v>113.33378836498945</v>
      </c>
      <c r="H46" s="4">
        <f t="shared" si="17"/>
        <v>32.85502115110846</v>
      </c>
      <c r="I46" s="4"/>
      <c r="J46" s="4"/>
      <c r="K46" s="4">
        <f t="shared" si="18"/>
        <v>-57.449237460617738</v>
      </c>
      <c r="L46" s="4">
        <f t="shared" si="19"/>
        <v>54.387889218068182</v>
      </c>
      <c r="M46" s="4">
        <f t="shared" si="20"/>
        <v>3300.4148848064442</v>
      </c>
      <c r="N46" s="4">
        <f t="shared" si="21"/>
        <v>2958.0424935968572</v>
      </c>
      <c r="O46" s="4"/>
      <c r="P46" s="4"/>
      <c r="Q46" s="4"/>
      <c r="R46" s="4"/>
      <c r="S46" s="4"/>
      <c r="T46" s="4"/>
      <c r="U46" s="4"/>
      <c r="V46" s="4"/>
      <c r="W46" s="5"/>
      <c r="AA46" s="3">
        <v>9</v>
      </c>
      <c r="AB46" s="25">
        <v>211.3</v>
      </c>
      <c r="AC46" s="25">
        <v>132</v>
      </c>
      <c r="AD46" s="4">
        <f t="shared" si="22"/>
        <v>-58.699999999999989</v>
      </c>
      <c r="AE46" s="4">
        <f t="shared" si="23"/>
        <v>-59</v>
      </c>
      <c r="AF46" s="4">
        <f t="shared" si="24"/>
        <v>0.50000000000001887</v>
      </c>
      <c r="AG46" s="4">
        <f t="shared" si="25"/>
        <v>68.9698105425053</v>
      </c>
      <c r="AH46" s="4">
        <f t="shared" si="26"/>
        <v>-112.54850169474014</v>
      </c>
      <c r="AI46" s="4"/>
      <c r="AJ46" s="4"/>
      <c r="AK46" s="4">
        <f t="shared" si="27"/>
        <v>-101.81321528310188</v>
      </c>
      <c r="AL46" s="4">
        <f t="shared" si="28"/>
        <v>-91.015633627780417</v>
      </c>
      <c r="AM46" s="4">
        <f t="shared" si="29"/>
        <v>10365.930806283252</v>
      </c>
      <c r="AN46" s="4">
        <f t="shared" si="30"/>
        <v>8283.8455646663533</v>
      </c>
      <c r="AO46" s="4"/>
      <c r="AP46" s="4"/>
      <c r="AQ46" s="4"/>
      <c r="AR46" s="4"/>
      <c r="AS46" s="4"/>
      <c r="AT46" s="4"/>
      <c r="AU46" s="4"/>
      <c r="AV46" s="4"/>
      <c r="AW46" s="5"/>
    </row>
    <row r="47" spans="1:49">
      <c r="A47" s="3">
        <v>10</v>
      </c>
      <c r="B47" s="25">
        <v>284.05</v>
      </c>
      <c r="C47" s="25">
        <v>114</v>
      </c>
      <c r="D47" s="4">
        <f t="shared" si="13"/>
        <v>14.050000000000011</v>
      </c>
      <c r="E47" s="4">
        <f t="shared" si="14"/>
        <v>14</v>
      </c>
      <c r="F47" s="4">
        <f t="shared" si="15"/>
        <v>8.3333333333352286E-2</v>
      </c>
      <c r="G47" s="4">
        <f t="shared" si="16"/>
        <v>110.57348364426824</v>
      </c>
      <c r="H47" s="4">
        <f t="shared" si="17"/>
        <v>27.739947995098014</v>
      </c>
      <c r="I47" s="4"/>
      <c r="J47" s="4"/>
      <c r="K47" s="4">
        <f t="shared" si="18"/>
        <v>-60.209542181338946</v>
      </c>
      <c r="L47" s="4">
        <f t="shared" si="19"/>
        <v>49.272816062057728</v>
      </c>
      <c r="M47" s="4">
        <f t="shared" si="20"/>
        <v>3625.1889696864337</v>
      </c>
      <c r="N47" s="4">
        <f t="shared" si="21"/>
        <v>2427.8104026853739</v>
      </c>
      <c r="O47" s="4"/>
      <c r="P47" s="4"/>
      <c r="Q47" s="4"/>
      <c r="R47" s="4"/>
      <c r="S47" s="4"/>
      <c r="T47" s="4"/>
      <c r="U47" s="4"/>
      <c r="V47" s="4"/>
      <c r="W47" s="5"/>
      <c r="AA47" s="3">
        <v>10</v>
      </c>
      <c r="AB47" s="25">
        <v>209.3</v>
      </c>
      <c r="AC47" s="25">
        <v>122</v>
      </c>
      <c r="AD47" s="4">
        <f t="shared" si="22"/>
        <v>-60.699999999999989</v>
      </c>
      <c r="AE47" s="4">
        <f t="shared" si="23"/>
        <v>-61</v>
      </c>
      <c r="AF47" s="4">
        <f t="shared" si="24"/>
        <v>0.50000000000001887</v>
      </c>
      <c r="AG47" s="4">
        <f t="shared" si="25"/>
        <v>60.075674332623038</v>
      </c>
      <c r="AH47" s="4">
        <f t="shared" si="26"/>
        <v>-106.18339490466774</v>
      </c>
      <c r="AI47" s="4"/>
      <c r="AJ47" s="4"/>
      <c r="AK47" s="4">
        <f t="shared" si="27"/>
        <v>-110.70735149298415</v>
      </c>
      <c r="AL47" s="4">
        <f t="shared" si="28"/>
        <v>-84.650526837708014</v>
      </c>
      <c r="AM47" s="4">
        <f t="shared" si="29"/>
        <v>12256.117674591138</v>
      </c>
      <c r="AN47" s="4">
        <f t="shared" si="30"/>
        <v>7165.711693901525</v>
      </c>
      <c r="AO47" s="4"/>
      <c r="AP47" s="4"/>
      <c r="AQ47" s="4"/>
      <c r="AR47" s="4"/>
      <c r="AS47" s="4"/>
      <c r="AT47" s="4"/>
      <c r="AU47" s="4"/>
      <c r="AV47" s="4"/>
      <c r="AW47" s="5"/>
    </row>
    <row r="48" spans="1:49">
      <c r="A48" s="3">
        <v>11</v>
      </c>
      <c r="B48" s="25">
        <v>288.05</v>
      </c>
      <c r="C48" s="25">
        <v>110</v>
      </c>
      <c r="D48" s="4">
        <f t="shared" si="13"/>
        <v>18.050000000000011</v>
      </c>
      <c r="E48" s="4">
        <f t="shared" si="14"/>
        <v>18</v>
      </c>
      <c r="F48" s="4">
        <f t="shared" si="15"/>
        <v>8.3333333333352286E-2</v>
      </c>
      <c r="G48" s="4">
        <f t="shared" si="16"/>
        <v>104.56666698744239</v>
      </c>
      <c r="H48" s="4">
        <f t="shared" si="17"/>
        <v>34.143991493926507</v>
      </c>
      <c r="I48" s="4"/>
      <c r="J48" s="4"/>
      <c r="K48" s="4">
        <f t="shared" si="18"/>
        <v>-66.216358838164794</v>
      </c>
      <c r="L48" s="4">
        <f t="shared" si="19"/>
        <v>55.676859560886228</v>
      </c>
      <c r="M48" s="4">
        <f t="shared" si="20"/>
        <v>4384.6061777846053</v>
      </c>
      <c r="N48" s="4">
        <f t="shared" si="21"/>
        <v>3099.9126905626481</v>
      </c>
      <c r="O48" s="4"/>
      <c r="P48" s="4"/>
      <c r="Q48" s="4"/>
      <c r="R48" s="4"/>
      <c r="S48" s="4"/>
      <c r="T48" s="4"/>
      <c r="U48" s="4"/>
      <c r="V48" s="4"/>
      <c r="W48" s="5"/>
      <c r="AA48" s="3">
        <v>11</v>
      </c>
      <c r="AB48" s="25">
        <v>212.2</v>
      </c>
      <c r="AC48" s="25">
        <v>124</v>
      </c>
      <c r="AD48" s="4">
        <f t="shared" si="22"/>
        <v>-57.800000000000011</v>
      </c>
      <c r="AE48" s="4">
        <f t="shared" si="23"/>
        <v>-58</v>
      </c>
      <c r="AF48" s="4">
        <f t="shared" si="24"/>
        <v>0.33333333333331439</v>
      </c>
      <c r="AG48" s="4">
        <f t="shared" si="25"/>
        <v>66.32065752937433</v>
      </c>
      <c r="AH48" s="4">
        <f t="shared" si="26"/>
        <v>-104.77390125824007</v>
      </c>
      <c r="AI48" s="4"/>
      <c r="AJ48" s="4"/>
      <c r="AK48" s="4">
        <f t="shared" si="27"/>
        <v>-104.46236829623285</v>
      </c>
      <c r="AL48" s="4">
        <f t="shared" si="28"/>
        <v>-83.241033191280351</v>
      </c>
      <c r="AM48" s="4">
        <f t="shared" si="29"/>
        <v>10912.386390057794</v>
      </c>
      <c r="AN48" s="4">
        <f t="shared" si="30"/>
        <v>6929.0696067518375</v>
      </c>
      <c r="AO48" s="4"/>
      <c r="AP48" s="4"/>
      <c r="AQ48" s="4"/>
      <c r="AR48" s="4"/>
      <c r="AS48" s="4"/>
      <c r="AT48" s="4"/>
      <c r="AU48" s="4"/>
      <c r="AV48" s="4"/>
      <c r="AW48" s="5"/>
    </row>
    <row r="49" spans="1:49">
      <c r="A49" s="3">
        <v>12</v>
      </c>
      <c r="B49" s="25">
        <v>289.45</v>
      </c>
      <c r="C49" s="25">
        <v>108</v>
      </c>
      <c r="D49" s="4">
        <f t="shared" si="13"/>
        <v>19.449999999999989</v>
      </c>
      <c r="E49" s="4">
        <f t="shared" si="14"/>
        <v>19</v>
      </c>
      <c r="F49" s="4">
        <f t="shared" si="15"/>
        <v>0.74999999999998102</v>
      </c>
      <c r="G49" s="4">
        <f t="shared" si="16"/>
        <v>101.64700964768804</v>
      </c>
      <c r="H49" s="4">
        <f t="shared" si="17"/>
        <v>36.495005544359287</v>
      </c>
      <c r="I49" s="4"/>
      <c r="J49" s="4"/>
      <c r="K49" s="4">
        <f t="shared" si="18"/>
        <v>-69.136016177919146</v>
      </c>
      <c r="L49" s="4">
        <f t="shared" si="19"/>
        <v>58.027873611319009</v>
      </c>
      <c r="M49" s="4">
        <f t="shared" si="20"/>
        <v>4779.7887329534979</v>
      </c>
      <c r="N49" s="4">
        <f t="shared" si="21"/>
        <v>3367.2341158512131</v>
      </c>
      <c r="O49" s="4"/>
      <c r="P49" s="4"/>
      <c r="Q49" s="4"/>
      <c r="R49" s="4"/>
      <c r="S49" s="4"/>
      <c r="T49" s="4"/>
      <c r="U49" s="4"/>
      <c r="V49" s="4"/>
      <c r="W49" s="5"/>
      <c r="AA49" s="3">
        <v>12</v>
      </c>
      <c r="AB49" s="25">
        <v>213.05</v>
      </c>
      <c r="AC49" s="25">
        <v>132</v>
      </c>
      <c r="AD49" s="4">
        <f t="shared" si="22"/>
        <v>-56.949999999999989</v>
      </c>
      <c r="AE49" s="4">
        <f t="shared" si="23"/>
        <v>-57</v>
      </c>
      <c r="AF49" s="4">
        <f t="shared" si="24"/>
        <v>8.3333333333352286E-2</v>
      </c>
      <c r="AG49" s="4">
        <f t="shared" si="25"/>
        <v>72.053289714985183</v>
      </c>
      <c r="AH49" s="4">
        <f t="shared" si="26"/>
        <v>-110.59983472523099</v>
      </c>
      <c r="AI49" s="4"/>
      <c r="AJ49" s="4"/>
      <c r="AK49" s="4">
        <f t="shared" si="27"/>
        <v>-98.729736110622</v>
      </c>
      <c r="AL49" s="4">
        <f t="shared" si="28"/>
        <v>-89.066966658271269</v>
      </c>
      <c r="AM49" s="4">
        <f t="shared" si="29"/>
        <v>9747.5607924730575</v>
      </c>
      <c r="AN49" s="4">
        <f t="shared" si="30"/>
        <v>7932.9245497056063</v>
      </c>
      <c r="AO49" s="4"/>
      <c r="AP49" s="4"/>
      <c r="AQ49" s="4"/>
      <c r="AR49" s="4"/>
      <c r="AS49" s="4"/>
      <c r="AT49" s="4"/>
      <c r="AU49" s="4"/>
      <c r="AV49" s="4"/>
      <c r="AW49" s="5"/>
    </row>
    <row r="50" spans="1:49">
      <c r="A50" s="3">
        <v>13</v>
      </c>
      <c r="B50" s="25">
        <v>290.35000000000002</v>
      </c>
      <c r="C50" s="25">
        <v>106</v>
      </c>
      <c r="D50" s="4">
        <f t="shared" si="13"/>
        <v>20.350000000000023</v>
      </c>
      <c r="E50" s="4">
        <f t="shared" si="14"/>
        <v>20</v>
      </c>
      <c r="F50" s="4">
        <f t="shared" si="15"/>
        <v>0.58333333333337123</v>
      </c>
      <c r="G50" s="4">
        <f t="shared" si="16"/>
        <v>99.23315532848801</v>
      </c>
      <c r="H50" s="4">
        <f t="shared" si="17"/>
        <v>37.266350553175606</v>
      </c>
      <c r="I50" s="4"/>
      <c r="J50" s="4"/>
      <c r="K50" s="4">
        <f t="shared" si="18"/>
        <v>-71.549870497119173</v>
      </c>
      <c r="L50" s="4">
        <f t="shared" si="19"/>
        <v>58.799218620135321</v>
      </c>
      <c r="M50" s="4">
        <f t="shared" si="20"/>
        <v>5119.3839681545251</v>
      </c>
      <c r="N50" s="4">
        <f t="shared" si="21"/>
        <v>3457.3481103384684</v>
      </c>
      <c r="O50" s="4"/>
      <c r="P50" s="4"/>
      <c r="Q50" s="4"/>
      <c r="R50" s="4"/>
      <c r="S50" s="4"/>
      <c r="T50" s="4"/>
      <c r="U50" s="4"/>
      <c r="V50" s="4"/>
      <c r="W50" s="5"/>
      <c r="AA50" s="3">
        <v>13</v>
      </c>
      <c r="AB50" s="25">
        <v>216.3</v>
      </c>
      <c r="AC50" s="25">
        <v>122</v>
      </c>
      <c r="AD50" s="4">
        <f t="shared" si="22"/>
        <v>-53.699999999999989</v>
      </c>
      <c r="AE50" s="4">
        <f t="shared" si="23"/>
        <v>-54</v>
      </c>
      <c r="AF50" s="4">
        <f t="shared" si="24"/>
        <v>0.50000000000001887</v>
      </c>
      <c r="AG50" s="4">
        <f t="shared" si="25"/>
        <v>72.568379983663675</v>
      </c>
      <c r="AH50" s="4">
        <f t="shared" si="26"/>
        <v>-98.070536995300486</v>
      </c>
      <c r="AI50" s="4"/>
      <c r="AJ50" s="4"/>
      <c r="AK50" s="4">
        <f t="shared" si="27"/>
        <v>-98.214645841943508</v>
      </c>
      <c r="AL50" s="4">
        <f t="shared" si="28"/>
        <v>-76.537668928340764</v>
      </c>
      <c r="AM50" s="4">
        <f t="shared" si="29"/>
        <v>9646.1166578583907</v>
      </c>
      <c r="AN50" s="4">
        <f t="shared" si="30"/>
        <v>5858.0147649842993</v>
      </c>
      <c r="AO50" s="4"/>
      <c r="AP50" s="4"/>
      <c r="AQ50" s="4"/>
      <c r="AR50" s="4"/>
      <c r="AS50" s="4"/>
      <c r="AT50" s="4"/>
      <c r="AU50" s="4"/>
      <c r="AV50" s="4"/>
      <c r="AW50" s="5"/>
    </row>
    <row r="51" spans="1:49">
      <c r="A51" s="3">
        <v>14</v>
      </c>
      <c r="B51" s="25">
        <v>286.3</v>
      </c>
      <c r="C51" s="25">
        <v>106</v>
      </c>
      <c r="D51" s="4">
        <f t="shared" si="13"/>
        <v>16.300000000000011</v>
      </c>
      <c r="E51" s="4">
        <f t="shared" si="14"/>
        <v>16</v>
      </c>
      <c r="F51" s="4">
        <f t="shared" si="15"/>
        <v>0.50000000000001887</v>
      </c>
      <c r="G51" s="4">
        <f t="shared" si="16"/>
        <v>101.63489189602845</v>
      </c>
      <c r="H51" s="4">
        <f t="shared" si="17"/>
        <v>30.105626538615823</v>
      </c>
      <c r="I51" s="4"/>
      <c r="J51" s="4"/>
      <c r="K51" s="4">
        <f t="shared" si="18"/>
        <v>-69.148133929578734</v>
      </c>
      <c r="L51" s="4">
        <f t="shared" si="19"/>
        <v>51.638494605575545</v>
      </c>
      <c r="M51" s="4">
        <f t="shared" si="20"/>
        <v>4781.4644259429579</v>
      </c>
      <c r="N51" s="4">
        <f t="shared" si="21"/>
        <v>2666.5341251300547</v>
      </c>
      <c r="O51" s="4"/>
      <c r="P51" s="4"/>
      <c r="Q51" s="4"/>
      <c r="R51" s="4"/>
      <c r="S51" s="4"/>
      <c r="T51" s="4"/>
      <c r="U51" s="4"/>
      <c r="V51" s="4"/>
      <c r="W51" s="5"/>
      <c r="AA51" s="3">
        <v>14</v>
      </c>
      <c r="AB51" s="25">
        <v>217.5</v>
      </c>
      <c r="AC51" s="25">
        <v>128</v>
      </c>
      <c r="AD51" s="4">
        <f t="shared" si="22"/>
        <v>-52.5</v>
      </c>
      <c r="AE51" s="4">
        <f t="shared" si="23"/>
        <v>-53</v>
      </c>
      <c r="AF51" s="4">
        <f t="shared" si="24"/>
        <v>0.83333333333333337</v>
      </c>
      <c r="AG51" s="4">
        <f t="shared" si="25"/>
        <v>78.510930362349967</v>
      </c>
      <c r="AH51" s="4">
        <f t="shared" si="26"/>
        <v>-101.09418288723755</v>
      </c>
      <c r="AI51" s="4"/>
      <c r="AJ51" s="4"/>
      <c r="AK51" s="4">
        <f t="shared" si="27"/>
        <v>-92.272095463257216</v>
      </c>
      <c r="AL51" s="4">
        <f t="shared" si="28"/>
        <v>-79.561314820277829</v>
      </c>
      <c r="AM51" s="4">
        <f t="shared" si="29"/>
        <v>8514.1396011804536</v>
      </c>
      <c r="AN51" s="4">
        <f t="shared" si="30"/>
        <v>6330.0028159313606</v>
      </c>
      <c r="AO51" s="4"/>
      <c r="AP51" s="4"/>
      <c r="AQ51" s="4"/>
      <c r="AR51" s="4"/>
      <c r="AS51" s="4"/>
      <c r="AT51" s="4"/>
      <c r="AU51" s="4"/>
      <c r="AV51" s="4"/>
      <c r="AW51" s="5"/>
    </row>
    <row r="52" spans="1:49">
      <c r="A52" s="3">
        <v>15</v>
      </c>
      <c r="B52" s="25">
        <v>288.10000000000002</v>
      </c>
      <c r="C52" s="25">
        <v>94</v>
      </c>
      <c r="D52" s="4">
        <f t="shared" si="13"/>
        <v>18.100000000000023</v>
      </c>
      <c r="E52" s="4">
        <f t="shared" si="14"/>
        <v>18</v>
      </c>
      <c r="F52" s="4">
        <f t="shared" si="15"/>
        <v>0.16666666666670457</v>
      </c>
      <c r="G52" s="4">
        <f t="shared" si="16"/>
        <v>89.314438384840713</v>
      </c>
      <c r="H52" s="4">
        <f t="shared" si="17"/>
        <v>29.307526268869776</v>
      </c>
      <c r="I52" s="4"/>
      <c r="J52" s="4"/>
      <c r="K52" s="4">
        <f t="shared" si="18"/>
        <v>-81.46858744076647</v>
      </c>
      <c r="L52" s="4">
        <f t="shared" si="19"/>
        <v>50.840394335829494</v>
      </c>
      <c r="M52" s="4">
        <f t="shared" si="20"/>
        <v>6637.130739593812</v>
      </c>
      <c r="N52" s="4">
        <f t="shared" si="21"/>
        <v>2584.7456962226438</v>
      </c>
      <c r="O52" s="4"/>
      <c r="P52" s="4"/>
      <c r="Q52" s="4"/>
      <c r="R52" s="4"/>
      <c r="S52" s="4"/>
      <c r="T52" s="4"/>
      <c r="U52" s="4"/>
      <c r="V52" s="4"/>
      <c r="W52" s="5"/>
      <c r="AA52" s="3">
        <v>15</v>
      </c>
      <c r="AB52" s="25">
        <v>223</v>
      </c>
      <c r="AC52" s="25">
        <v>124</v>
      </c>
      <c r="AD52" s="4">
        <f t="shared" si="22"/>
        <v>-47</v>
      </c>
      <c r="AE52" s="4">
        <f t="shared" si="23"/>
        <v>-47</v>
      </c>
      <c r="AF52" s="4">
        <f t="shared" si="24"/>
        <v>0</v>
      </c>
      <c r="AG52" s="4">
        <f t="shared" si="25"/>
        <v>84.567796647749816</v>
      </c>
      <c r="AH52" s="4">
        <f t="shared" si="26"/>
        <v>-90.687859000777138</v>
      </c>
      <c r="AI52" s="4"/>
      <c r="AJ52" s="4"/>
      <c r="AK52" s="4">
        <f t="shared" si="27"/>
        <v>-86.215229177857367</v>
      </c>
      <c r="AL52" s="4">
        <f t="shared" si="28"/>
        <v>-69.154990933817416</v>
      </c>
      <c r="AM52" s="4">
        <f t="shared" si="29"/>
        <v>7433.065742190468</v>
      </c>
      <c r="AN52" s="4">
        <f t="shared" si="30"/>
        <v>4782.4127710563689</v>
      </c>
      <c r="AO52" s="4"/>
      <c r="AP52" s="4"/>
      <c r="AQ52" s="4"/>
      <c r="AR52" s="4"/>
      <c r="AS52" s="4"/>
      <c r="AT52" s="4"/>
      <c r="AU52" s="4"/>
      <c r="AV52" s="4"/>
      <c r="AW52" s="5"/>
    </row>
    <row r="53" spans="1:49">
      <c r="A53" s="3">
        <v>16</v>
      </c>
      <c r="B53" s="25">
        <v>287.35000000000002</v>
      </c>
      <c r="C53" s="25">
        <v>94</v>
      </c>
      <c r="D53" s="4">
        <f t="shared" si="13"/>
        <v>17.350000000000023</v>
      </c>
      <c r="E53" s="4">
        <f t="shared" si="14"/>
        <v>17</v>
      </c>
      <c r="F53" s="4">
        <f t="shared" si="15"/>
        <v>0.58333333333337123</v>
      </c>
      <c r="G53" s="4">
        <f t="shared" si="16"/>
        <v>89.608186830201376</v>
      </c>
      <c r="H53" s="4">
        <f t="shared" si="17"/>
        <v>28.396704967367697</v>
      </c>
      <c r="I53" s="4"/>
      <c r="J53" s="4"/>
      <c r="K53" s="4">
        <f t="shared" si="18"/>
        <v>-81.174838995405807</v>
      </c>
      <c r="L53" s="4">
        <f t="shared" si="19"/>
        <v>49.929573034327419</v>
      </c>
      <c r="M53" s="4">
        <f t="shared" si="20"/>
        <v>6589.3544859300555</v>
      </c>
      <c r="N53" s="4">
        <f t="shared" si="21"/>
        <v>2492.9622633902359</v>
      </c>
      <c r="O53" s="4"/>
      <c r="P53" s="4"/>
      <c r="Q53" s="4"/>
      <c r="R53" s="4"/>
      <c r="S53" s="4"/>
      <c r="T53" s="4"/>
      <c r="U53" s="4"/>
      <c r="V53" s="4"/>
      <c r="W53" s="5"/>
      <c r="AA53" s="3">
        <v>16</v>
      </c>
      <c r="AB53" s="25">
        <v>205.3</v>
      </c>
      <c r="AC53" s="25">
        <v>130</v>
      </c>
      <c r="AD53" s="4">
        <f t="shared" si="22"/>
        <v>-64.699999999999989</v>
      </c>
      <c r="AE53" s="4">
        <f t="shared" si="23"/>
        <v>-65</v>
      </c>
      <c r="AF53" s="4">
        <f t="shared" si="24"/>
        <v>0.50000000000001887</v>
      </c>
      <c r="AG53" s="4">
        <f t="shared" si="25"/>
        <v>55.966442585078411</v>
      </c>
      <c r="AH53" s="4">
        <f t="shared" si="26"/>
        <v>-117.33608696548185</v>
      </c>
      <c r="AI53" s="4"/>
      <c r="AJ53" s="4"/>
      <c r="AK53" s="4">
        <f t="shared" si="27"/>
        <v>-114.81658324052877</v>
      </c>
      <c r="AL53" s="4">
        <f t="shared" si="28"/>
        <v>-95.803218898522132</v>
      </c>
      <c r="AM53" s="4">
        <f t="shared" si="29"/>
        <v>13182.847787029272</v>
      </c>
      <c r="AN53" s="4">
        <f t="shared" si="30"/>
        <v>9178.2567513181475</v>
      </c>
      <c r="AO53" s="4"/>
      <c r="AP53" s="4"/>
      <c r="AQ53" s="4"/>
      <c r="AR53" s="4"/>
      <c r="AS53" s="4"/>
      <c r="AT53" s="4"/>
      <c r="AU53" s="4"/>
      <c r="AV53" s="4"/>
      <c r="AW53" s="5"/>
    </row>
    <row r="54" spans="1:49">
      <c r="A54" s="3">
        <v>17</v>
      </c>
      <c r="B54" s="25">
        <v>286.25</v>
      </c>
      <c r="C54" s="25">
        <v>94</v>
      </c>
      <c r="D54" s="4">
        <f t="shared" si="13"/>
        <v>16.25</v>
      </c>
      <c r="E54" s="4">
        <f t="shared" si="14"/>
        <v>16</v>
      </c>
      <c r="F54" s="4">
        <f t="shared" si="15"/>
        <v>0.41666666666666669</v>
      </c>
      <c r="G54" s="4">
        <f t="shared" si="16"/>
        <v>90.167789590473305</v>
      </c>
      <c r="H54" s="4">
        <f t="shared" si="17"/>
        <v>26.566326813621295</v>
      </c>
      <c r="I54" s="4"/>
      <c r="J54" s="4"/>
      <c r="K54" s="4">
        <f t="shared" si="18"/>
        <v>-80.615236235133878</v>
      </c>
      <c r="L54" s="4">
        <f t="shared" si="19"/>
        <v>48.09919488058101</v>
      </c>
      <c r="M54" s="4">
        <f t="shared" si="20"/>
        <v>6498.8163132464424</v>
      </c>
      <c r="N54" s="4">
        <f t="shared" si="21"/>
        <v>2313.5325481601103</v>
      </c>
      <c r="O54" s="4"/>
      <c r="P54" s="4"/>
      <c r="Q54" s="4"/>
      <c r="R54" s="4"/>
      <c r="S54" s="4"/>
      <c r="T54" s="4"/>
      <c r="U54" s="4"/>
      <c r="V54" s="4"/>
      <c r="W54" s="5"/>
      <c r="AA54" s="3">
        <v>17</v>
      </c>
      <c r="AB54" s="25">
        <v>204.05</v>
      </c>
      <c r="AC54" s="25">
        <v>162</v>
      </c>
      <c r="AD54" s="4">
        <f t="shared" si="22"/>
        <v>-65.949999999999989</v>
      </c>
      <c r="AE54" s="4">
        <f t="shared" si="23"/>
        <v>-66</v>
      </c>
      <c r="AF54" s="4">
        <f t="shared" si="24"/>
        <v>8.3333333333352286E-2</v>
      </c>
      <c r="AG54" s="4">
        <f t="shared" si="25"/>
        <v>66.106515486561108</v>
      </c>
      <c r="AH54" s="4">
        <f t="shared" si="26"/>
        <v>-147.89837257463333</v>
      </c>
      <c r="AI54" s="4"/>
      <c r="AJ54" s="4"/>
      <c r="AK54" s="4">
        <f t="shared" si="27"/>
        <v>-104.67651033904608</v>
      </c>
      <c r="AL54" s="4">
        <f t="shared" si="28"/>
        <v>-126.36550450767361</v>
      </c>
      <c r="AM54" s="4">
        <f t="shared" si="29"/>
        <v>10957.171816760419</v>
      </c>
      <c r="AN54" s="4">
        <f t="shared" si="30"/>
        <v>15968.240729478879</v>
      </c>
      <c r="AO54" s="4"/>
      <c r="AP54" s="4"/>
      <c r="AQ54" s="4"/>
      <c r="AR54" s="4"/>
      <c r="AS54" s="4"/>
      <c r="AT54" s="4"/>
      <c r="AU54" s="4"/>
      <c r="AV54" s="4"/>
      <c r="AW54" s="5"/>
    </row>
    <row r="55" spans="1:49">
      <c r="A55" s="3">
        <v>18</v>
      </c>
      <c r="B55" s="25">
        <v>285.25</v>
      </c>
      <c r="C55" s="25">
        <v>96</v>
      </c>
      <c r="D55" s="4">
        <f t="shared" si="13"/>
        <v>15.25</v>
      </c>
      <c r="E55" s="4">
        <f t="shared" si="14"/>
        <v>15</v>
      </c>
      <c r="F55" s="4">
        <f t="shared" si="15"/>
        <v>0.41666666666666669</v>
      </c>
      <c r="G55" s="4">
        <f t="shared" si="16"/>
        <v>92.545739165084129</v>
      </c>
      <c r="H55" s="4">
        <f t="shared" si="17"/>
        <v>25.52030882235195</v>
      </c>
      <c r="I55" s="4"/>
      <c r="J55" s="4"/>
      <c r="K55" s="4">
        <f t="shared" si="18"/>
        <v>-78.237286660523054</v>
      </c>
      <c r="L55" s="4">
        <f t="shared" si="19"/>
        <v>47.053176889311672</v>
      </c>
      <c r="M55" s="4">
        <f t="shared" si="20"/>
        <v>6121.0730240008588</v>
      </c>
      <c r="N55" s="4">
        <f t="shared" si="21"/>
        <v>2214.0014553768542</v>
      </c>
      <c r="O55" s="4"/>
      <c r="P55" s="4"/>
      <c r="Q55" s="4"/>
      <c r="R55" s="4"/>
      <c r="S55" s="4"/>
      <c r="T55" s="4"/>
      <c r="U55" s="4"/>
      <c r="V55" s="4"/>
      <c r="W55" s="5"/>
      <c r="AA55" s="3">
        <v>18</v>
      </c>
      <c r="AB55" s="25">
        <v>209.25</v>
      </c>
      <c r="AC55" s="25">
        <v>150</v>
      </c>
      <c r="AD55" s="4">
        <f t="shared" si="22"/>
        <v>-60.75</v>
      </c>
      <c r="AE55" s="4">
        <f t="shared" si="23"/>
        <v>-61</v>
      </c>
      <c r="AF55" s="4">
        <f t="shared" si="24"/>
        <v>0.41666666666666669</v>
      </c>
      <c r="AG55" s="4">
        <f t="shared" si="25"/>
        <v>73.673573800095724</v>
      </c>
      <c r="AH55" s="4">
        <f t="shared" si="26"/>
        <v>-130.66064642240926</v>
      </c>
      <c r="AI55" s="4"/>
      <c r="AJ55" s="4"/>
      <c r="AK55" s="4">
        <f t="shared" si="27"/>
        <v>-97.109452025511459</v>
      </c>
      <c r="AL55" s="4">
        <f t="shared" si="28"/>
        <v>-109.12777835544954</v>
      </c>
      <c r="AM55" s="4">
        <f t="shared" si="29"/>
        <v>9430.2456726951114</v>
      </c>
      <c r="AN55" s="4">
        <f t="shared" si="30"/>
        <v>11908.872008796121</v>
      </c>
      <c r="AO55" s="4"/>
      <c r="AP55" s="4"/>
      <c r="AQ55" s="4"/>
      <c r="AR55" s="4"/>
      <c r="AS55" s="4"/>
      <c r="AT55" s="4"/>
      <c r="AU55" s="4"/>
      <c r="AV55" s="4"/>
      <c r="AW55" s="5"/>
    </row>
    <row r="56" spans="1:49" ht="15.75" thickBot="1">
      <c r="A56" s="3">
        <v>19</v>
      </c>
      <c r="B56" s="26">
        <v>284.55</v>
      </c>
      <c r="C56" s="25">
        <v>94</v>
      </c>
      <c r="D56" s="4">
        <f t="shared" si="13"/>
        <v>14.550000000000011</v>
      </c>
      <c r="E56" s="4">
        <f t="shared" si="14"/>
        <v>14</v>
      </c>
      <c r="F56" s="4">
        <f t="shared" si="15"/>
        <v>0.91666666666668561</v>
      </c>
      <c r="G56" s="4">
        <f t="shared" si="16"/>
        <v>90.832316704701668</v>
      </c>
      <c r="H56" s="4">
        <f t="shared" si="17"/>
        <v>24.196905629786112</v>
      </c>
      <c r="I56" s="4"/>
      <c r="J56" s="4"/>
      <c r="K56" s="4">
        <f t="shared" si="18"/>
        <v>-79.950709120905515</v>
      </c>
      <c r="L56" s="4">
        <f t="shared" si="19"/>
        <v>45.729773696745831</v>
      </c>
      <c r="M56" s="4">
        <f t="shared" si="20"/>
        <v>6392.1158889356439</v>
      </c>
      <c r="N56" s="4">
        <f t="shared" si="21"/>
        <v>2091.2122023555867</v>
      </c>
      <c r="O56" s="4"/>
      <c r="P56" s="4"/>
      <c r="Q56" s="4"/>
      <c r="R56" s="4"/>
      <c r="S56" s="4"/>
      <c r="T56" s="4"/>
      <c r="U56" s="4"/>
      <c r="V56" s="4"/>
      <c r="W56" s="5"/>
      <c r="AA56" s="3">
        <v>19</v>
      </c>
      <c r="AB56" s="25">
        <v>210.55</v>
      </c>
      <c r="AC56" s="25">
        <v>146</v>
      </c>
      <c r="AD56" s="4">
        <f t="shared" si="22"/>
        <v>-59.449999999999989</v>
      </c>
      <c r="AE56" s="4">
        <f t="shared" si="23"/>
        <v>-60</v>
      </c>
      <c r="AF56" s="4">
        <f t="shared" si="24"/>
        <v>0.91666666666668561</v>
      </c>
      <c r="AG56" s="4">
        <f t="shared" si="25"/>
        <v>75.013461368501339</v>
      </c>
      <c r="AH56" s="4">
        <f t="shared" si="26"/>
        <v>-125.25566100386985</v>
      </c>
      <c r="AI56" s="4"/>
      <c r="AJ56" s="4"/>
      <c r="AK56" s="4">
        <f t="shared" si="27"/>
        <v>-95.769564457105844</v>
      </c>
      <c r="AL56" s="4">
        <f t="shared" si="28"/>
        <v>-103.72279293691012</v>
      </c>
      <c r="AM56" s="4">
        <f t="shared" si="29"/>
        <v>9171.8094763037516</v>
      </c>
      <c r="AN56" s="4">
        <f t="shared" si="30"/>
        <v>10758.417774633133</v>
      </c>
      <c r="AO56" s="4"/>
      <c r="AP56" s="4"/>
      <c r="AQ56" s="4"/>
      <c r="AR56" s="4"/>
      <c r="AS56" s="4"/>
      <c r="AT56" s="4"/>
      <c r="AU56" s="4"/>
      <c r="AV56" s="4"/>
      <c r="AW56" s="5"/>
    </row>
    <row r="57" spans="1:49">
      <c r="A57" s="3">
        <v>20</v>
      </c>
      <c r="B57" s="25">
        <v>284.14999999999998</v>
      </c>
      <c r="C57" s="25">
        <v>92</v>
      </c>
      <c r="D57" s="4">
        <f t="shared" si="13"/>
        <v>14.149999999999977</v>
      </c>
      <c r="E57" s="4">
        <f t="shared" si="14"/>
        <v>14</v>
      </c>
      <c r="F57" s="4">
        <f t="shared" si="15"/>
        <v>0.24999999999996211</v>
      </c>
      <c r="G57" s="4">
        <f t="shared" si="16"/>
        <v>89.169243693021414</v>
      </c>
      <c r="H57" s="4">
        <f t="shared" si="17"/>
        <v>22.646102958667303</v>
      </c>
      <c r="I57" s="4"/>
      <c r="J57" s="4"/>
      <c r="K57" s="4">
        <f t="shared" si="18"/>
        <v>-81.613782132585769</v>
      </c>
      <c r="L57" s="4">
        <f t="shared" si="19"/>
        <v>44.178971025627021</v>
      </c>
      <c r="M57" s="4">
        <f t="shared" si="20"/>
        <v>6660.8094339851759</v>
      </c>
      <c r="N57" s="4">
        <f t="shared" si="21"/>
        <v>1951.7814808831918</v>
      </c>
      <c r="O57" s="4"/>
      <c r="P57" s="4"/>
      <c r="Q57" s="4"/>
      <c r="R57" s="4"/>
      <c r="S57" s="4"/>
      <c r="T57" s="4"/>
      <c r="U57" s="4"/>
      <c r="V57" s="4"/>
      <c r="W57" s="5"/>
      <c r="AA57" s="3">
        <v>20</v>
      </c>
      <c r="AB57" s="25">
        <v>211.55</v>
      </c>
      <c r="AC57" s="25">
        <v>146</v>
      </c>
      <c r="AD57" s="4">
        <f t="shared" si="22"/>
        <v>-58.449999999999989</v>
      </c>
      <c r="AE57" s="4">
        <f t="shared" si="23"/>
        <v>-59</v>
      </c>
      <c r="AF57" s="4">
        <f t="shared" si="24"/>
        <v>0.91666666666668561</v>
      </c>
      <c r="AG57" s="4">
        <f t="shared" si="25"/>
        <v>77.188049159409189</v>
      </c>
      <c r="AH57" s="4">
        <f t="shared" si="26"/>
        <v>-123.92741854393897</v>
      </c>
      <c r="AI57" s="4"/>
      <c r="AJ57" s="4"/>
      <c r="AK57" s="4">
        <f t="shared" si="27"/>
        <v>-93.594976666197994</v>
      </c>
      <c r="AL57" s="4">
        <f t="shared" si="28"/>
        <v>-102.39455047697925</v>
      </c>
      <c r="AM57" s="4">
        <f t="shared" si="29"/>
        <v>8760.0196571461474</v>
      </c>
      <c r="AN57" s="4">
        <f t="shared" si="30"/>
        <v>10484.643967382652</v>
      </c>
      <c r="AO57" s="4"/>
      <c r="AP57" s="4"/>
      <c r="AQ57" s="4"/>
      <c r="AR57" s="4"/>
      <c r="AS57" s="4"/>
      <c r="AT57" s="4"/>
      <c r="AU57" s="4"/>
      <c r="AV57" s="4"/>
      <c r="AW57" s="5"/>
    </row>
    <row r="58" spans="1:49">
      <c r="A58" s="3">
        <v>21</v>
      </c>
      <c r="B58" s="25">
        <v>280.35000000000002</v>
      </c>
      <c r="C58" s="25">
        <v>102</v>
      </c>
      <c r="D58" s="4">
        <f t="shared" si="13"/>
        <v>10.350000000000023</v>
      </c>
      <c r="E58" s="4">
        <f t="shared" si="14"/>
        <v>10</v>
      </c>
      <c r="F58" s="4">
        <f t="shared" si="15"/>
        <v>0.58333333333337123</v>
      </c>
      <c r="G58" s="4">
        <f t="shared" si="16"/>
        <v>100.26485931784902</v>
      </c>
      <c r="H58" s="4">
        <f t="shared" si="17"/>
        <v>18.733872690181958</v>
      </c>
      <c r="I58" s="4"/>
      <c r="J58" s="4"/>
      <c r="K58" s="4">
        <f t="shared" si="18"/>
        <v>-70.518166507758167</v>
      </c>
      <c r="L58" s="4">
        <f t="shared" si="19"/>
        <v>40.266740757141676</v>
      </c>
      <c r="M58" s="4">
        <f t="shared" si="20"/>
        <v>4972.8118076159053</v>
      </c>
      <c r="N58" s="4">
        <f t="shared" si="21"/>
        <v>1621.4104112028547</v>
      </c>
      <c r="O58" s="4"/>
      <c r="P58" s="4"/>
      <c r="Q58" s="4"/>
      <c r="R58" s="4"/>
      <c r="S58" s="4"/>
      <c r="T58" s="4"/>
      <c r="U58" s="4"/>
      <c r="V58" s="4"/>
      <c r="W58" s="5"/>
      <c r="AA58" s="3">
        <v>21</v>
      </c>
      <c r="AB58" s="25">
        <v>212.55</v>
      </c>
      <c r="AC58" s="25">
        <v>164</v>
      </c>
      <c r="AD58" s="4">
        <f t="shared" si="22"/>
        <v>-57.449999999999989</v>
      </c>
      <c r="AE58" s="4">
        <f t="shared" si="23"/>
        <v>-58</v>
      </c>
      <c r="AF58" s="4">
        <f t="shared" si="24"/>
        <v>0.91666666666668561</v>
      </c>
      <c r="AG58" s="4">
        <f t="shared" si="25"/>
        <v>89.120660647535132</v>
      </c>
      <c r="AH58" s="4">
        <f t="shared" si="26"/>
        <v>-137.67173945929093</v>
      </c>
      <c r="AI58" s="4"/>
      <c r="AJ58" s="4"/>
      <c r="AK58" s="4">
        <f t="shared" si="27"/>
        <v>-81.662365178072051</v>
      </c>
      <c r="AL58" s="4">
        <f t="shared" si="28"/>
        <v>-116.13887139233121</v>
      </c>
      <c r="AM58" s="4">
        <f t="shared" si="29"/>
        <v>6668.7418864767942</v>
      </c>
      <c r="AN58" s="4">
        <f t="shared" si="30"/>
        <v>13488.23744828445</v>
      </c>
      <c r="AO58" s="4"/>
      <c r="AP58" s="4"/>
      <c r="AQ58" s="4"/>
      <c r="AR58" s="4"/>
      <c r="AS58" s="4"/>
      <c r="AT58" s="4"/>
      <c r="AU58" s="4"/>
      <c r="AV58" s="4"/>
      <c r="AW58" s="5"/>
    </row>
    <row r="59" spans="1:49">
      <c r="A59" s="3">
        <v>22</v>
      </c>
      <c r="B59" s="25">
        <v>274.39999999999998</v>
      </c>
      <c r="C59" s="25">
        <v>100</v>
      </c>
      <c r="D59" s="4">
        <f t="shared" si="13"/>
        <v>4.3999999999999773</v>
      </c>
      <c r="E59" s="4">
        <f t="shared" si="14"/>
        <v>4</v>
      </c>
      <c r="F59" s="4">
        <f t="shared" si="15"/>
        <v>0.66666666666662877</v>
      </c>
      <c r="G59" s="4">
        <f t="shared" si="16"/>
        <v>99.668488804450618</v>
      </c>
      <c r="H59" s="4">
        <f t="shared" si="17"/>
        <v>8.1358674667857613</v>
      </c>
      <c r="I59" s="4"/>
      <c r="J59" s="4"/>
      <c r="K59" s="4">
        <f t="shared" si="18"/>
        <v>-71.114537021156565</v>
      </c>
      <c r="L59" s="4">
        <f t="shared" si="19"/>
        <v>29.66873553374548</v>
      </c>
      <c r="M59" s="4">
        <f t="shared" si="20"/>
        <v>5057.277375733448</v>
      </c>
      <c r="N59" s="4">
        <f t="shared" si="21"/>
        <v>880.23386817133166</v>
      </c>
      <c r="O59" s="4"/>
      <c r="P59" s="4"/>
      <c r="Q59" s="4"/>
      <c r="R59" s="4"/>
      <c r="S59" s="4"/>
      <c r="T59" s="4"/>
      <c r="U59" s="4"/>
      <c r="V59" s="4"/>
      <c r="W59" s="5"/>
      <c r="AA59" s="3">
        <v>22</v>
      </c>
      <c r="AB59" s="25">
        <v>215.1</v>
      </c>
      <c r="AC59" s="25">
        <v>158</v>
      </c>
      <c r="AD59" s="4">
        <f t="shared" si="22"/>
        <v>-54.900000000000006</v>
      </c>
      <c r="AE59" s="4">
        <f t="shared" si="23"/>
        <v>-55</v>
      </c>
      <c r="AF59" s="4">
        <f t="shared" si="24"/>
        <v>0.16666666666665719</v>
      </c>
      <c r="AG59" s="4">
        <f t="shared" si="25"/>
        <v>91.001178036288337</v>
      </c>
      <c r="AH59" s="4">
        <f t="shared" si="26"/>
        <v>-129.16185813160072</v>
      </c>
      <c r="AI59" s="4"/>
      <c r="AJ59" s="4"/>
      <c r="AK59" s="4">
        <f t="shared" si="27"/>
        <v>-79.781847789318846</v>
      </c>
      <c r="AL59" s="4">
        <f t="shared" si="28"/>
        <v>-107.628990064641</v>
      </c>
      <c r="AM59" s="4">
        <f t="shared" si="29"/>
        <v>6365.14323667804</v>
      </c>
      <c r="AN59" s="4">
        <f t="shared" si="30"/>
        <v>11583.999502334591</v>
      </c>
      <c r="AO59" s="4"/>
      <c r="AP59" s="4"/>
      <c r="AQ59" s="4"/>
      <c r="AR59" s="4"/>
      <c r="AS59" s="4"/>
      <c r="AT59" s="4"/>
      <c r="AU59" s="4"/>
      <c r="AV59" s="4"/>
      <c r="AW59" s="5"/>
    </row>
    <row r="60" spans="1:49" ht="15.75" thickBot="1">
      <c r="A60" s="3">
        <v>23</v>
      </c>
      <c r="B60" s="25">
        <v>271.5</v>
      </c>
      <c r="C60" s="25">
        <v>102</v>
      </c>
      <c r="D60" s="4">
        <f t="shared" si="13"/>
        <v>1.5</v>
      </c>
      <c r="E60" s="4">
        <f t="shared" si="14"/>
        <v>1</v>
      </c>
      <c r="F60" s="4">
        <f t="shared" si="15"/>
        <v>0.83333333333333337</v>
      </c>
      <c r="G60" s="4">
        <f t="shared" si="16"/>
        <v>101.94778795230808</v>
      </c>
      <c r="H60" s="4">
        <f t="shared" si="17"/>
        <v>3.2632087936920935</v>
      </c>
      <c r="I60" s="4"/>
      <c r="J60" s="4"/>
      <c r="K60" s="4">
        <f t="shared" si="18"/>
        <v>-68.835237873299107</v>
      </c>
      <c r="L60" s="4">
        <f t="shared" si="19"/>
        <v>24.796076860651812</v>
      </c>
      <c r="M60" s="4">
        <f t="shared" si="20"/>
        <v>4738.2899730736717</v>
      </c>
      <c r="N60" s="4">
        <f t="shared" si="21"/>
        <v>614.84542767935227</v>
      </c>
      <c r="O60" s="4"/>
      <c r="P60" s="4"/>
      <c r="Q60" s="4"/>
      <c r="R60" s="4"/>
      <c r="S60" s="4"/>
      <c r="T60" s="4"/>
      <c r="U60" s="4"/>
      <c r="V60" s="4"/>
      <c r="W60" s="5"/>
      <c r="AA60" s="3">
        <v>23</v>
      </c>
      <c r="AB60" s="26">
        <v>215.25</v>
      </c>
      <c r="AC60" s="26">
        <v>166</v>
      </c>
      <c r="AD60" s="4">
        <f t="shared" si="22"/>
        <v>-54.75</v>
      </c>
      <c r="AE60" s="4">
        <f t="shared" si="23"/>
        <v>-55</v>
      </c>
      <c r="AF60" s="4">
        <f t="shared" si="24"/>
        <v>0.41666666666666669</v>
      </c>
      <c r="AG60" s="4">
        <f t="shared" si="25"/>
        <v>96.200030976645508</v>
      </c>
      <c r="AH60" s="4">
        <f t="shared" si="26"/>
        <v>-135.28323636021</v>
      </c>
      <c r="AI60" s="4"/>
      <c r="AJ60" s="4"/>
      <c r="AK60" s="4">
        <f t="shared" si="27"/>
        <v>-74.582994848961675</v>
      </c>
      <c r="AL60" s="4">
        <f t="shared" si="28"/>
        <v>-113.75036829325028</v>
      </c>
      <c r="AM60" s="4">
        <f t="shared" si="29"/>
        <v>5562.6231206402435</v>
      </c>
      <c r="AN60" s="4">
        <f t="shared" si="30"/>
        <v>12939.146286850078</v>
      </c>
      <c r="AO60" s="4"/>
      <c r="AP60" s="4"/>
      <c r="AQ60" s="4"/>
      <c r="AR60" s="4"/>
      <c r="AS60" s="4"/>
      <c r="AT60" s="4"/>
      <c r="AU60" s="4"/>
      <c r="AV60" s="4"/>
      <c r="AW60" s="5"/>
    </row>
    <row r="61" spans="1:49" ht="15.75" thickBot="1">
      <c r="A61" s="6">
        <v>24</v>
      </c>
      <c r="B61" s="26">
        <v>271.45</v>
      </c>
      <c r="C61" s="26">
        <v>96</v>
      </c>
      <c r="D61" s="7">
        <f t="shared" si="13"/>
        <v>1.4499999999999886</v>
      </c>
      <c r="E61" s="7">
        <f t="shared" si="14"/>
        <v>1</v>
      </c>
      <c r="F61" s="7">
        <f t="shared" si="15"/>
        <v>0.74999999999998102</v>
      </c>
      <c r="G61" s="7">
        <f t="shared" si="16"/>
        <v>95.955224720324452</v>
      </c>
      <c r="H61" s="7">
        <f t="shared" si="17"/>
        <v>2.9316972681429432</v>
      </c>
      <c r="I61" s="7"/>
      <c r="J61" s="7"/>
      <c r="K61" s="7">
        <f t="shared" si="18"/>
        <v>-74.827801105282731</v>
      </c>
      <c r="L61" s="7">
        <f t="shared" si="19"/>
        <v>24.464565335102662</v>
      </c>
      <c r="M61" s="7">
        <f t="shared" si="20"/>
        <v>5599.1998182517518</v>
      </c>
      <c r="N61" s="7">
        <f t="shared" si="21"/>
        <v>598.51495703550688</v>
      </c>
      <c r="O61" s="7"/>
      <c r="P61" s="7"/>
      <c r="Q61" s="7"/>
      <c r="R61" s="7"/>
      <c r="S61" s="7"/>
      <c r="T61" s="7"/>
      <c r="U61" s="7"/>
      <c r="V61" s="7"/>
      <c r="W61" s="8"/>
      <c r="AA61" s="6">
        <v>24</v>
      </c>
      <c r="AB61" s="26">
        <v>217.3</v>
      </c>
      <c r="AC61" s="26">
        <v>160</v>
      </c>
      <c r="AD61" s="7">
        <f t="shared" si="22"/>
        <v>-52.699999999999989</v>
      </c>
      <c r="AE61" s="7">
        <f t="shared" si="23"/>
        <v>-53</v>
      </c>
      <c r="AF61" s="7">
        <f t="shared" si="24"/>
        <v>0.50000000000001887</v>
      </c>
      <c r="AG61" s="7">
        <f t="shared" si="25"/>
        <v>97.401828641395355</v>
      </c>
      <c r="AH61" s="7">
        <f t="shared" si="26"/>
        <v>-126.93653444659759</v>
      </c>
      <c r="AI61" s="7"/>
      <c r="AJ61" s="7"/>
      <c r="AK61" s="7">
        <f t="shared" si="27"/>
        <v>-73.381197184211828</v>
      </c>
      <c r="AL61" s="7">
        <f t="shared" si="28"/>
        <v>-105.40366637963787</v>
      </c>
      <c r="AM61" s="7">
        <f t="shared" si="29"/>
        <v>5384.8001001881776</v>
      </c>
      <c r="AN61" s="7">
        <f t="shared" si="30"/>
        <v>11109.932886270002</v>
      </c>
      <c r="AO61" s="7"/>
      <c r="AP61" s="7"/>
      <c r="AQ61" s="7"/>
      <c r="AR61" s="7"/>
      <c r="AS61" s="7"/>
      <c r="AT61" s="7"/>
      <c r="AU61" s="7"/>
      <c r="AV61" s="7"/>
      <c r="AW61" s="8"/>
    </row>
    <row r="62" spans="1:49" ht="19.5" thickBot="1">
      <c r="A62" s="112" t="s">
        <v>79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</row>
    <row r="63" spans="1:49" ht="30">
      <c r="A63" s="1" t="s">
        <v>2</v>
      </c>
      <c r="B63" s="23" t="s">
        <v>0</v>
      </c>
      <c r="C63" s="23" t="s">
        <v>1</v>
      </c>
      <c r="D63" s="11" t="s">
        <v>51</v>
      </c>
      <c r="E63" s="2" t="s">
        <v>4</v>
      </c>
      <c r="F63" s="11" t="s">
        <v>5</v>
      </c>
      <c r="G63" s="2" t="s">
        <v>3</v>
      </c>
      <c r="H63" s="2" t="s">
        <v>21</v>
      </c>
      <c r="I63" s="2" t="s">
        <v>6</v>
      </c>
      <c r="J63" s="2" t="s">
        <v>7</v>
      </c>
      <c r="K63" s="2" t="s">
        <v>8</v>
      </c>
      <c r="L63" s="2" t="s">
        <v>9</v>
      </c>
      <c r="M63" s="2" t="s">
        <v>10</v>
      </c>
      <c r="N63" s="2" t="s">
        <v>11</v>
      </c>
      <c r="O63" s="2" t="s">
        <v>12</v>
      </c>
      <c r="P63" s="2" t="s">
        <v>13</v>
      </c>
      <c r="Q63" s="2" t="s">
        <v>14</v>
      </c>
      <c r="R63" s="2" t="s">
        <v>15</v>
      </c>
      <c r="S63" s="2" t="s">
        <v>16</v>
      </c>
      <c r="T63" s="12" t="s">
        <v>17</v>
      </c>
      <c r="U63" s="12" t="s">
        <v>18</v>
      </c>
      <c r="V63" s="13" t="s">
        <v>19</v>
      </c>
      <c r="W63" s="9" t="s">
        <v>22</v>
      </c>
    </row>
    <row r="64" spans="1:49">
      <c r="A64" s="3">
        <v>1</v>
      </c>
      <c r="B64" s="25">
        <v>272.10000000000002</v>
      </c>
      <c r="C64" s="25">
        <v>66</v>
      </c>
      <c r="D64" s="4">
        <f t="shared" ref="D64:D87" si="31">IF(B64,B64-$C$4," ")</f>
        <v>2.1000000000000227</v>
      </c>
      <c r="E64" s="4">
        <f t="shared" ref="E64:E87" si="32">IF(B64,INT(D64)," ")</f>
        <v>2</v>
      </c>
      <c r="F64" s="4">
        <f t="shared" ref="F64:F87" si="33">IF(B64,((D64-E64)/60*100)," ")</f>
        <v>0.16666666666670457</v>
      </c>
      <c r="G64" s="4">
        <f t="shared" ref="G64:G87" si="34">IF(B64,C64*COS(PI()/180*(E64+F64))," ")</f>
        <v>65.95281530800014</v>
      </c>
      <c r="H64" s="4">
        <f t="shared" ref="H64:H87" si="35">IF(B64,(C64*SIN(PI()/180*(E64+F64)))," ")</f>
        <v>2.4952260316098429</v>
      </c>
      <c r="I64" s="4">
        <f>SUM(G64:G83)/F6</f>
        <v>58.13283540900936</v>
      </c>
      <c r="J64" s="4">
        <f>SUM(H64:H83)/F6</f>
        <v>25.599137758081049</v>
      </c>
      <c r="K64" s="4">
        <f t="shared" ref="K64:K87" si="36">IF(B64,SUM(G64,-$I$12)," ")</f>
        <v>-104.83021051760704</v>
      </c>
      <c r="L64" s="4">
        <f t="shared" ref="L64:L87" si="37">IF(B64,SUM(H64,-$J$12)," ")</f>
        <v>24.028094098569561</v>
      </c>
      <c r="M64" s="4">
        <f t="shared" ref="M64:M87" si="38">IF(B64,POWER(K64,2)," ")</f>
        <v>10989.373037165809</v>
      </c>
      <c r="N64" s="4">
        <f t="shared" ref="N64:N87" si="39">IF(B64,POWER(L64,2)," ")</f>
        <v>577.34930600971336</v>
      </c>
      <c r="O64" s="4">
        <f>F6-1</f>
        <v>19</v>
      </c>
      <c r="P64" s="4">
        <f>SUM(M64:M87)</f>
        <v>258918.23840335198</v>
      </c>
      <c r="Q64" s="4">
        <f>SUM(N64:N87)</f>
        <v>51912.740943432866</v>
      </c>
      <c r="R64" s="4">
        <f>PRODUCT(P64,1/$O$38)</f>
        <v>11257.314713189216</v>
      </c>
      <c r="S64" s="4">
        <f>PRODUCT(Q64,1/$O$38)</f>
        <v>2257.0756931927331</v>
      </c>
      <c r="T64" s="4">
        <f>SQRT(R64)</f>
        <v>106.10049346345764</v>
      </c>
      <c r="U64" s="4">
        <f>SQRT(S64)</f>
        <v>47.508690712255301</v>
      </c>
      <c r="V64" s="4">
        <f>PRODUCT(T64:U64)</f>
        <v>5040.695528373074</v>
      </c>
      <c r="W64" s="10">
        <f>SQRT(V64)</f>
        <v>70.997855801235815</v>
      </c>
    </row>
    <row r="65" spans="1:23">
      <c r="A65" s="3">
        <v>2</v>
      </c>
      <c r="B65" s="25">
        <v>274.55</v>
      </c>
      <c r="C65" s="25">
        <v>62</v>
      </c>
      <c r="D65" s="4">
        <f t="shared" si="31"/>
        <v>4.5500000000000114</v>
      </c>
      <c r="E65" s="4">
        <f t="shared" si="32"/>
        <v>4</v>
      </c>
      <c r="F65" s="4">
        <f t="shared" si="33"/>
        <v>0.91666666666668561</v>
      </c>
      <c r="G65" s="4">
        <f t="shared" si="34"/>
        <v>61.771865250252937</v>
      </c>
      <c r="H65" s="4">
        <f t="shared" si="35"/>
        <v>5.3138181663088684</v>
      </c>
      <c r="I65" s="4"/>
      <c r="J65" s="4"/>
      <c r="K65" s="4">
        <f t="shared" si="36"/>
        <v>-109.01116057535424</v>
      </c>
      <c r="L65" s="4">
        <f t="shared" si="37"/>
        <v>26.846686233268585</v>
      </c>
      <c r="M65" s="4">
        <f t="shared" si="38"/>
        <v>11883.433129985666</v>
      </c>
      <c r="N65" s="4">
        <f t="shared" si="39"/>
        <v>720.74456170757298</v>
      </c>
      <c r="O65" s="4"/>
      <c r="P65" s="4"/>
      <c r="Q65" s="4"/>
      <c r="R65" s="4"/>
      <c r="S65" s="4"/>
      <c r="T65" s="4"/>
      <c r="U65" s="4"/>
      <c r="V65" s="4"/>
      <c r="W65" s="5"/>
    </row>
    <row r="66" spans="1:23">
      <c r="A66" s="3">
        <v>3</v>
      </c>
      <c r="B66" s="25">
        <v>276.05</v>
      </c>
      <c r="C66" s="25">
        <v>90</v>
      </c>
      <c r="D66" s="4">
        <f t="shared" si="31"/>
        <v>6.0500000000000114</v>
      </c>
      <c r="E66" s="4">
        <f t="shared" si="32"/>
        <v>6</v>
      </c>
      <c r="F66" s="4">
        <f t="shared" si="33"/>
        <v>8.3333333333352286E-2</v>
      </c>
      <c r="G66" s="4">
        <f t="shared" si="34"/>
        <v>89.49319317267306</v>
      </c>
      <c r="H66" s="4">
        <f t="shared" si="35"/>
        <v>9.5377343095005944</v>
      </c>
      <c r="I66" s="4"/>
      <c r="J66" s="4"/>
      <c r="K66" s="4">
        <f t="shared" si="36"/>
        <v>-81.289832652934123</v>
      </c>
      <c r="L66" s="4">
        <f t="shared" si="37"/>
        <v>31.070602376460315</v>
      </c>
      <c r="M66" s="4">
        <f t="shared" si="38"/>
        <v>6608.036892742035</v>
      </c>
      <c r="N66" s="4">
        <f t="shared" si="39"/>
        <v>965.38233203610139</v>
      </c>
      <c r="O66" s="4"/>
      <c r="P66" s="4"/>
      <c r="Q66" s="4"/>
      <c r="R66" s="4"/>
      <c r="S66" s="4"/>
      <c r="T66" s="4"/>
      <c r="U66" s="4"/>
      <c r="V66" s="4"/>
      <c r="W66" s="5"/>
    </row>
    <row r="67" spans="1:23">
      <c r="A67" s="3">
        <v>4</v>
      </c>
      <c r="B67" s="25">
        <v>285</v>
      </c>
      <c r="C67" s="25">
        <v>56</v>
      </c>
      <c r="D67" s="4">
        <f t="shared" si="31"/>
        <v>15</v>
      </c>
      <c r="E67" s="4">
        <f t="shared" si="32"/>
        <v>15</v>
      </c>
      <c r="F67" s="4">
        <f t="shared" si="33"/>
        <v>0</v>
      </c>
      <c r="G67" s="4">
        <f t="shared" si="34"/>
        <v>54.091846272187823</v>
      </c>
      <c r="H67" s="4">
        <f t="shared" si="35"/>
        <v>14.493866525741161</v>
      </c>
      <c r="I67" s="4"/>
      <c r="J67" s="4"/>
      <c r="K67" s="4">
        <f t="shared" si="36"/>
        <v>-116.69117955341936</v>
      </c>
      <c r="L67" s="4">
        <f t="shared" si="37"/>
        <v>36.026734592700876</v>
      </c>
      <c r="M67" s="4">
        <f t="shared" si="38"/>
        <v>13616.831385568357</v>
      </c>
      <c r="N67" s="4">
        <f t="shared" si="39"/>
        <v>1297.92560541291</v>
      </c>
      <c r="O67" s="4"/>
      <c r="P67" s="4"/>
      <c r="Q67" s="4"/>
      <c r="R67" s="4"/>
      <c r="S67" s="4"/>
      <c r="T67" s="4"/>
      <c r="U67" s="4"/>
      <c r="V67" s="4"/>
      <c r="W67" s="5"/>
    </row>
    <row r="68" spans="1:23">
      <c r="A68" s="3">
        <v>5</v>
      </c>
      <c r="B68" s="25">
        <v>283.39999999999998</v>
      </c>
      <c r="C68" s="25">
        <v>74</v>
      </c>
      <c r="D68" s="4">
        <f t="shared" si="31"/>
        <v>13.399999999999977</v>
      </c>
      <c r="E68" s="4">
        <f t="shared" si="32"/>
        <v>13</v>
      </c>
      <c r="F68" s="4">
        <f t="shared" si="33"/>
        <v>0.66666666666662877</v>
      </c>
      <c r="G68" s="4">
        <f t="shared" si="34"/>
        <v>71.904818939145144</v>
      </c>
      <c r="H68" s="4">
        <f t="shared" si="35"/>
        <v>17.484193242147409</v>
      </c>
      <c r="I68" s="4"/>
      <c r="J68" s="4"/>
      <c r="K68" s="4">
        <f t="shared" si="36"/>
        <v>-98.878206886462038</v>
      </c>
      <c r="L68" s="4">
        <f t="shared" si="37"/>
        <v>39.017061309107127</v>
      </c>
      <c r="M68" s="4">
        <f t="shared" si="38"/>
        <v>9776.8997970819892</v>
      </c>
      <c r="N68" s="4">
        <f t="shared" si="39"/>
        <v>1522.3310731986244</v>
      </c>
      <c r="O68" s="4"/>
      <c r="P68" s="4"/>
      <c r="Q68" s="4"/>
      <c r="R68" s="4"/>
      <c r="S68" s="4"/>
      <c r="T68" s="4"/>
      <c r="U68" s="4"/>
      <c r="V68" s="4"/>
      <c r="W68" s="5"/>
    </row>
    <row r="69" spans="1:23">
      <c r="A69" s="3">
        <v>6</v>
      </c>
      <c r="B69" s="25">
        <v>285</v>
      </c>
      <c r="C69" s="25">
        <v>70</v>
      </c>
      <c r="D69" s="4">
        <f t="shared" si="31"/>
        <v>15</v>
      </c>
      <c r="E69" s="4">
        <f t="shared" si="32"/>
        <v>15</v>
      </c>
      <c r="F69" s="4">
        <f t="shared" si="33"/>
        <v>0</v>
      </c>
      <c r="G69" s="4">
        <f t="shared" si="34"/>
        <v>67.614807840234775</v>
      </c>
      <c r="H69" s="4">
        <f t="shared" si="35"/>
        <v>18.117333157176454</v>
      </c>
      <c r="I69" s="4"/>
      <c r="J69" s="4"/>
      <c r="K69" s="4">
        <f t="shared" si="36"/>
        <v>-103.16821798537241</v>
      </c>
      <c r="L69" s="4">
        <f t="shared" si="37"/>
        <v>39.650201224136168</v>
      </c>
      <c r="M69" s="4">
        <f t="shared" si="38"/>
        <v>10643.681202277319</v>
      </c>
      <c r="N69" s="4">
        <f t="shared" si="39"/>
        <v>1572.1384571144893</v>
      </c>
      <c r="O69" s="4"/>
      <c r="P69" s="4"/>
      <c r="Q69" s="4"/>
      <c r="R69" s="4"/>
      <c r="S69" s="4"/>
      <c r="T69" s="4"/>
      <c r="U69" s="4"/>
      <c r="V69" s="4"/>
      <c r="W69" s="5"/>
    </row>
    <row r="70" spans="1:23">
      <c r="A70" s="3">
        <v>7</v>
      </c>
      <c r="B70" s="25">
        <v>285.25</v>
      </c>
      <c r="C70" s="25">
        <v>78</v>
      </c>
      <c r="D70" s="4">
        <f t="shared" si="31"/>
        <v>15.25</v>
      </c>
      <c r="E70" s="4">
        <f t="shared" si="32"/>
        <v>15</v>
      </c>
      <c r="F70" s="4">
        <f t="shared" si="33"/>
        <v>0.41666666666666669</v>
      </c>
      <c r="G70" s="4">
        <f t="shared" si="34"/>
        <v>75.193413071630857</v>
      </c>
      <c r="H70" s="4">
        <f t="shared" si="35"/>
        <v>20.735250918160958</v>
      </c>
      <c r="I70" s="4"/>
      <c r="J70" s="4"/>
      <c r="K70" s="4">
        <f t="shared" si="36"/>
        <v>-95.589612753976326</v>
      </c>
      <c r="L70" s="4">
        <f t="shared" si="37"/>
        <v>42.26811898512068</v>
      </c>
      <c r="M70" s="4">
        <f t="shared" si="38"/>
        <v>9137.3740664551533</v>
      </c>
      <c r="N70" s="4">
        <f t="shared" si="39"/>
        <v>1786.5938825403193</v>
      </c>
      <c r="O70" s="4"/>
      <c r="P70" s="4"/>
      <c r="Q70" s="4"/>
      <c r="R70" s="4"/>
      <c r="S70" s="4"/>
      <c r="T70" s="4"/>
      <c r="U70" s="4"/>
      <c r="V70" s="4"/>
      <c r="W70" s="5"/>
    </row>
    <row r="71" spans="1:23">
      <c r="A71" s="3">
        <v>8</v>
      </c>
      <c r="B71" s="25">
        <v>292.39999999999998</v>
      </c>
      <c r="C71" s="25">
        <v>72</v>
      </c>
      <c r="D71" s="4">
        <f t="shared" si="31"/>
        <v>22.399999999999977</v>
      </c>
      <c r="E71" s="4">
        <f t="shared" si="32"/>
        <v>22</v>
      </c>
      <c r="F71" s="4">
        <f t="shared" si="33"/>
        <v>0.66666666666662877</v>
      </c>
      <c r="G71" s="4">
        <f t="shared" si="34"/>
        <v>66.438895993591871</v>
      </c>
      <c r="H71" s="4">
        <f t="shared" si="35"/>
        <v>27.746587162256233</v>
      </c>
      <c r="I71" s="4"/>
      <c r="J71" s="4"/>
      <c r="K71" s="4">
        <f t="shared" si="36"/>
        <v>-104.34412983201531</v>
      </c>
      <c r="L71" s="4">
        <f t="shared" si="37"/>
        <v>49.279455229215955</v>
      </c>
      <c r="M71" s="4">
        <f t="shared" si="38"/>
        <v>10887.697430400467</v>
      </c>
      <c r="N71" s="4">
        <f t="shared" si="39"/>
        <v>2428.4647076882998</v>
      </c>
      <c r="O71" s="4"/>
      <c r="P71" s="4"/>
      <c r="Q71" s="4"/>
      <c r="R71" s="4"/>
      <c r="S71" s="4"/>
      <c r="T71" s="4"/>
      <c r="U71" s="4"/>
      <c r="V71" s="4"/>
      <c r="W71" s="5"/>
    </row>
    <row r="72" spans="1:23">
      <c r="A72" s="3">
        <v>9</v>
      </c>
      <c r="B72" s="25">
        <v>298.45</v>
      </c>
      <c r="C72" s="25">
        <v>62</v>
      </c>
      <c r="D72" s="4">
        <f t="shared" si="31"/>
        <v>28.449999999999989</v>
      </c>
      <c r="E72" s="4">
        <f t="shared" si="32"/>
        <v>28</v>
      </c>
      <c r="F72" s="4">
        <f t="shared" si="33"/>
        <v>0.74999999999998102</v>
      </c>
      <c r="G72" s="4">
        <f t="shared" si="34"/>
        <v>54.357058853865489</v>
      </c>
      <c r="H72" s="4">
        <f t="shared" si="35"/>
        <v>29.821303673002014</v>
      </c>
      <c r="I72" s="4"/>
      <c r="J72" s="4"/>
      <c r="K72" s="4">
        <f t="shared" si="36"/>
        <v>-116.4259669717417</v>
      </c>
      <c r="L72" s="4">
        <f t="shared" si="37"/>
        <v>51.354171739961728</v>
      </c>
      <c r="M72" s="4">
        <f t="shared" si="38"/>
        <v>13555.005785305089</v>
      </c>
      <c r="N72" s="4">
        <f t="shared" si="39"/>
        <v>2637.2509550974837</v>
      </c>
      <c r="O72" s="4"/>
      <c r="P72" s="4"/>
      <c r="Q72" s="4"/>
      <c r="R72" s="4"/>
      <c r="S72" s="4"/>
      <c r="T72" s="4"/>
      <c r="U72" s="4"/>
      <c r="V72" s="4"/>
      <c r="W72" s="5"/>
    </row>
    <row r="73" spans="1:23">
      <c r="A73" s="3">
        <v>10</v>
      </c>
      <c r="B73" s="25">
        <v>297.35000000000002</v>
      </c>
      <c r="C73" s="25">
        <v>66</v>
      </c>
      <c r="D73" s="4">
        <f t="shared" si="31"/>
        <v>27.350000000000023</v>
      </c>
      <c r="E73" s="4">
        <f t="shared" si="32"/>
        <v>27</v>
      </c>
      <c r="F73" s="4">
        <f t="shared" si="33"/>
        <v>0.58333333333337123</v>
      </c>
      <c r="G73" s="4">
        <f t="shared" si="34"/>
        <v>58.498328399911834</v>
      </c>
      <c r="H73" s="4">
        <f t="shared" si="35"/>
        <v>30.560523137146539</v>
      </c>
      <c r="I73" s="4"/>
      <c r="J73" s="4"/>
      <c r="K73" s="4">
        <f t="shared" si="36"/>
        <v>-112.28469742569536</v>
      </c>
      <c r="L73" s="4">
        <f t="shared" si="37"/>
        <v>52.093391204106254</v>
      </c>
      <c r="M73" s="4">
        <f t="shared" si="38"/>
        <v>12607.853275979956</v>
      </c>
      <c r="N73" s="4">
        <f t="shared" si="39"/>
        <v>2713.7214071440549</v>
      </c>
      <c r="O73" s="4"/>
      <c r="P73" s="4"/>
      <c r="Q73" s="4"/>
      <c r="R73" s="4"/>
      <c r="S73" s="4"/>
      <c r="T73" s="4"/>
      <c r="U73" s="4"/>
      <c r="V73" s="4"/>
      <c r="W73" s="5"/>
    </row>
    <row r="74" spans="1:23">
      <c r="A74" s="3">
        <v>11</v>
      </c>
      <c r="B74" s="25">
        <v>298.2</v>
      </c>
      <c r="C74" s="25">
        <v>68</v>
      </c>
      <c r="D74" s="4">
        <f t="shared" si="31"/>
        <v>28.199999999999989</v>
      </c>
      <c r="E74" s="4">
        <f t="shared" si="32"/>
        <v>28</v>
      </c>
      <c r="F74" s="4">
        <f t="shared" si="33"/>
        <v>0.33333333333331439</v>
      </c>
      <c r="G74" s="4">
        <f t="shared" si="34"/>
        <v>59.853694600247572</v>
      </c>
      <c r="H74" s="4">
        <f t="shared" si="35"/>
        <v>32.272825142839523</v>
      </c>
      <c r="I74" s="4"/>
      <c r="J74" s="4"/>
      <c r="K74" s="4">
        <f t="shared" si="36"/>
        <v>-110.92933122535962</v>
      </c>
      <c r="L74" s="4">
        <f t="shared" si="37"/>
        <v>53.805693209799244</v>
      </c>
      <c r="M74" s="4">
        <f t="shared" si="38"/>
        <v>12305.316526105544</v>
      </c>
      <c r="N74" s="4">
        <f t="shared" si="39"/>
        <v>2895.0526217870365</v>
      </c>
      <c r="O74" s="4"/>
      <c r="P74" s="4"/>
      <c r="Q74" s="4"/>
      <c r="R74" s="4"/>
      <c r="S74" s="4"/>
      <c r="T74" s="4"/>
      <c r="U74" s="4"/>
      <c r="V74" s="4"/>
      <c r="W74" s="5"/>
    </row>
    <row r="75" spans="1:23">
      <c r="A75" s="3">
        <v>12</v>
      </c>
      <c r="B75" s="25">
        <v>306.3</v>
      </c>
      <c r="C75" s="25">
        <v>94</v>
      </c>
      <c r="D75" s="4">
        <f t="shared" si="31"/>
        <v>36.300000000000011</v>
      </c>
      <c r="E75" s="4">
        <f t="shared" si="32"/>
        <v>36</v>
      </c>
      <c r="F75" s="4">
        <f t="shared" si="33"/>
        <v>0.50000000000001887</v>
      </c>
      <c r="G75" s="4">
        <f t="shared" si="34"/>
        <v>75.562544898018416</v>
      </c>
      <c r="H75" s="4">
        <f t="shared" si="35"/>
        <v>55.913341954626112</v>
      </c>
      <c r="I75" s="4"/>
      <c r="J75" s="4"/>
      <c r="K75" s="4">
        <f t="shared" si="36"/>
        <v>-95.220480927588767</v>
      </c>
      <c r="L75" s="4">
        <f t="shared" si="37"/>
        <v>77.446210021585827</v>
      </c>
      <c r="M75" s="4">
        <f t="shared" si="38"/>
        <v>9066.9399880812962</v>
      </c>
      <c r="N75" s="4">
        <f t="shared" si="39"/>
        <v>5997.9154467075814</v>
      </c>
      <c r="O75" s="4"/>
      <c r="P75" s="4"/>
      <c r="Q75" s="4"/>
      <c r="R75" s="4"/>
      <c r="S75" s="4"/>
      <c r="T75" s="4"/>
      <c r="U75" s="4"/>
      <c r="V75" s="4"/>
      <c r="W75" s="5"/>
    </row>
    <row r="76" spans="1:23">
      <c r="A76" s="3">
        <v>13</v>
      </c>
      <c r="B76" s="25">
        <v>308.5</v>
      </c>
      <c r="C76" s="25">
        <v>92</v>
      </c>
      <c r="D76" s="4">
        <f t="shared" si="31"/>
        <v>38.5</v>
      </c>
      <c r="E76" s="4">
        <f t="shared" si="32"/>
        <v>38</v>
      </c>
      <c r="F76" s="4">
        <f t="shared" si="33"/>
        <v>0.83333333333333337</v>
      </c>
      <c r="G76" s="4">
        <f t="shared" si="34"/>
        <v>71.665542656331681</v>
      </c>
      <c r="H76" s="4">
        <f t="shared" si="35"/>
        <v>57.689253728692883</v>
      </c>
      <c r="I76" s="4"/>
      <c r="J76" s="4"/>
      <c r="K76" s="4">
        <f t="shared" si="36"/>
        <v>-99.117483169275502</v>
      </c>
      <c r="L76" s="4">
        <f t="shared" si="37"/>
        <v>79.222121795652598</v>
      </c>
      <c r="M76" s="4">
        <f t="shared" si="38"/>
        <v>9824.2754698116132</v>
      </c>
      <c r="N76" s="4">
        <f t="shared" si="39"/>
        <v>6276.1445818052143</v>
      </c>
      <c r="O76" s="4"/>
      <c r="P76" s="4"/>
      <c r="Q76" s="4"/>
      <c r="R76" s="4"/>
      <c r="S76" s="4"/>
      <c r="T76" s="4"/>
      <c r="U76" s="4"/>
      <c r="V76" s="4"/>
      <c r="W76" s="5"/>
    </row>
    <row r="77" spans="1:23">
      <c r="A77" s="3">
        <v>14</v>
      </c>
      <c r="B77" s="25">
        <v>259.05</v>
      </c>
      <c r="C77" s="25">
        <v>34</v>
      </c>
      <c r="D77" s="4">
        <f t="shared" si="31"/>
        <v>-10.949999999999989</v>
      </c>
      <c r="E77" s="4">
        <f t="shared" si="32"/>
        <v>-11</v>
      </c>
      <c r="F77" s="4">
        <f t="shared" si="33"/>
        <v>8.3333333333352286E-2</v>
      </c>
      <c r="G77" s="4">
        <f t="shared" si="34"/>
        <v>33.384724627607135</v>
      </c>
      <c r="H77" s="4">
        <f t="shared" si="35"/>
        <v>-6.4389565566822728</v>
      </c>
      <c r="I77" s="4"/>
      <c r="J77" s="4"/>
      <c r="K77" s="4">
        <f t="shared" si="36"/>
        <v>-137.39830119800004</v>
      </c>
      <c r="L77" s="4">
        <f t="shared" si="37"/>
        <v>15.093911510277445</v>
      </c>
      <c r="M77" s="4">
        <f t="shared" si="38"/>
        <v>18878.293172096339</v>
      </c>
      <c r="N77" s="4">
        <f t="shared" si="39"/>
        <v>227.82616468008595</v>
      </c>
      <c r="O77" s="4"/>
      <c r="P77" s="4"/>
      <c r="Q77" s="4"/>
      <c r="R77" s="4"/>
      <c r="S77" s="4"/>
      <c r="T77" s="4"/>
      <c r="U77" s="4"/>
      <c r="V77" s="4"/>
      <c r="W77" s="5"/>
    </row>
    <row r="78" spans="1:23">
      <c r="A78" s="3">
        <v>15</v>
      </c>
      <c r="B78" s="25">
        <v>252.05</v>
      </c>
      <c r="C78" s="25">
        <v>38</v>
      </c>
      <c r="D78" s="4">
        <f t="shared" si="31"/>
        <v>-17.949999999999989</v>
      </c>
      <c r="E78" s="4">
        <f t="shared" si="32"/>
        <v>-18</v>
      </c>
      <c r="F78" s="4">
        <f t="shared" si="33"/>
        <v>8.3333333333352286E-2</v>
      </c>
      <c r="G78" s="4">
        <f t="shared" si="34"/>
        <v>36.157188373778368</v>
      </c>
      <c r="H78" s="4">
        <f t="shared" si="35"/>
        <v>-11.690069670583936</v>
      </c>
      <c r="I78" s="4"/>
      <c r="J78" s="4"/>
      <c r="K78" s="4">
        <f t="shared" si="36"/>
        <v>-134.62583745182883</v>
      </c>
      <c r="L78" s="4">
        <f t="shared" si="37"/>
        <v>9.8427983963757821</v>
      </c>
      <c r="M78" s="4">
        <f t="shared" si="38"/>
        <v>18124.116109606239</v>
      </c>
      <c r="N78" s="4">
        <f t="shared" si="39"/>
        <v>96.88068027169767</v>
      </c>
      <c r="O78" s="4"/>
      <c r="P78" s="4"/>
      <c r="Q78" s="4"/>
      <c r="R78" s="4"/>
      <c r="S78" s="4"/>
      <c r="T78" s="4"/>
      <c r="U78" s="4"/>
      <c r="V78" s="4"/>
      <c r="W78" s="5"/>
    </row>
    <row r="79" spans="1:23">
      <c r="A79" s="3">
        <v>16</v>
      </c>
      <c r="B79" s="25">
        <v>307.39999999999998</v>
      </c>
      <c r="C79" s="25">
        <v>52</v>
      </c>
      <c r="D79" s="4">
        <f t="shared" si="31"/>
        <v>37.399999999999977</v>
      </c>
      <c r="E79" s="4">
        <f t="shared" si="32"/>
        <v>37</v>
      </c>
      <c r="F79" s="4">
        <f t="shared" si="33"/>
        <v>0.66666666666662877</v>
      </c>
      <c r="G79" s="4">
        <f t="shared" si="34"/>
        <v>41.162116895000601</v>
      </c>
      <c r="H79" s="4">
        <f t="shared" si="35"/>
        <v>31.775464319539161</v>
      </c>
      <c r="I79" s="4"/>
      <c r="J79" s="4"/>
      <c r="K79" s="4">
        <f t="shared" si="36"/>
        <v>-129.62090893060659</v>
      </c>
      <c r="L79" s="4">
        <f t="shared" si="37"/>
        <v>53.308332386498876</v>
      </c>
      <c r="M79" s="4">
        <f t="shared" si="38"/>
        <v>16801.580031996607</v>
      </c>
      <c r="N79" s="4">
        <f t="shared" si="39"/>
        <v>2841.7783018294449</v>
      </c>
      <c r="O79" s="4"/>
      <c r="P79" s="4"/>
      <c r="Q79" s="4"/>
      <c r="R79" s="4"/>
      <c r="S79" s="4"/>
      <c r="T79" s="4"/>
      <c r="U79" s="4"/>
      <c r="V79" s="4"/>
      <c r="W79" s="5"/>
    </row>
    <row r="80" spans="1:23">
      <c r="A80" s="3">
        <v>17</v>
      </c>
      <c r="B80" s="25">
        <v>319.5</v>
      </c>
      <c r="C80" s="25">
        <v>44</v>
      </c>
      <c r="D80" s="4">
        <f t="shared" si="31"/>
        <v>49.5</v>
      </c>
      <c r="E80" s="4">
        <f t="shared" si="32"/>
        <v>49</v>
      </c>
      <c r="F80" s="4">
        <f t="shared" si="33"/>
        <v>0.83333333333333337</v>
      </c>
      <c r="G80" s="4">
        <f t="shared" si="34"/>
        <v>28.380581679994648</v>
      </c>
      <c r="H80" s="4">
        <f t="shared" si="35"/>
        <v>33.623542102300171</v>
      </c>
      <c r="I80" s="4"/>
      <c r="J80" s="4"/>
      <c r="K80" s="4">
        <f t="shared" si="36"/>
        <v>-142.40244414561255</v>
      </c>
      <c r="L80" s="4">
        <f t="shared" si="37"/>
        <v>55.156410169259885</v>
      </c>
      <c r="M80" s="4">
        <f t="shared" si="38"/>
        <v>20278.456098644303</v>
      </c>
      <c r="N80" s="4">
        <f t="shared" si="39"/>
        <v>3042.2295827596354</v>
      </c>
      <c r="O80" s="4"/>
      <c r="P80" s="4"/>
      <c r="Q80" s="4"/>
      <c r="R80" s="4"/>
      <c r="S80" s="4"/>
      <c r="T80" s="4"/>
      <c r="U80" s="4"/>
      <c r="V80" s="4"/>
      <c r="W80" s="5"/>
    </row>
    <row r="81" spans="1:23">
      <c r="A81" s="3">
        <v>18</v>
      </c>
      <c r="B81" s="25">
        <v>306.2</v>
      </c>
      <c r="C81" s="25">
        <v>76</v>
      </c>
      <c r="D81" s="4">
        <f t="shared" si="31"/>
        <v>36.199999999999989</v>
      </c>
      <c r="E81" s="4">
        <f t="shared" si="32"/>
        <v>36</v>
      </c>
      <c r="F81" s="4">
        <f t="shared" si="33"/>
        <v>0.33333333333331439</v>
      </c>
      <c r="G81" s="4">
        <f t="shared" si="34"/>
        <v>61.224363219547968</v>
      </c>
      <c r="H81" s="4">
        <f t="shared" si="35"/>
        <v>45.028628097698714</v>
      </c>
      <c r="I81" s="4"/>
      <c r="J81" s="4"/>
      <c r="K81" s="4">
        <f t="shared" si="36"/>
        <v>-109.55866260605922</v>
      </c>
      <c r="L81" s="4">
        <f t="shared" si="37"/>
        <v>66.561496164658436</v>
      </c>
      <c r="M81" s="4">
        <f t="shared" si="38"/>
        <v>12003.100552028318</v>
      </c>
      <c r="N81" s="4">
        <f t="shared" si="39"/>
        <v>4430.4327716778398</v>
      </c>
      <c r="O81" s="4"/>
      <c r="P81" s="4"/>
      <c r="Q81" s="4"/>
      <c r="R81" s="4"/>
      <c r="S81" s="4"/>
      <c r="T81" s="4"/>
      <c r="U81" s="4"/>
      <c r="V81" s="4"/>
      <c r="W81" s="5"/>
    </row>
    <row r="82" spans="1:23">
      <c r="A82" s="3">
        <v>19</v>
      </c>
      <c r="B82" s="25">
        <v>310</v>
      </c>
      <c r="C82" s="25">
        <v>74</v>
      </c>
      <c r="D82" s="4">
        <f t="shared" si="31"/>
        <v>40</v>
      </c>
      <c r="E82" s="4">
        <f t="shared" si="32"/>
        <v>40</v>
      </c>
      <c r="F82" s="4">
        <f t="shared" si="33"/>
        <v>0</v>
      </c>
      <c r="G82" s="4">
        <f t="shared" si="34"/>
        <v>56.687288790804374</v>
      </c>
      <c r="H82" s="4">
        <f t="shared" si="35"/>
        <v>47.566283116803902</v>
      </c>
      <c r="I82" s="4"/>
      <c r="J82" s="4"/>
      <c r="K82" s="4">
        <f t="shared" si="36"/>
        <v>-114.09573703480281</v>
      </c>
      <c r="L82" s="4">
        <f t="shared" si="37"/>
        <v>69.099151183763624</v>
      </c>
      <c r="M82" s="4">
        <f t="shared" si="38"/>
        <v>13017.837209514873</v>
      </c>
      <c r="N82" s="4">
        <f t="shared" si="39"/>
        <v>4774.6926943166218</v>
      </c>
      <c r="O82" s="4"/>
      <c r="P82" s="4"/>
      <c r="Q82" s="4"/>
      <c r="R82" s="4"/>
      <c r="S82" s="4"/>
      <c r="T82" s="4"/>
      <c r="U82" s="4"/>
      <c r="V82" s="4"/>
      <c r="W82" s="5"/>
    </row>
    <row r="83" spans="1:23">
      <c r="A83" s="3">
        <v>20</v>
      </c>
      <c r="B83" s="25">
        <v>326.2</v>
      </c>
      <c r="C83" s="25">
        <v>60</v>
      </c>
      <c r="D83" s="4">
        <f t="shared" si="31"/>
        <v>56.199999999999989</v>
      </c>
      <c r="E83" s="4">
        <f t="shared" si="32"/>
        <v>56</v>
      </c>
      <c r="F83" s="4">
        <f t="shared" si="33"/>
        <v>0.33333333333331439</v>
      </c>
      <c r="G83" s="4">
        <f t="shared" si="34"/>
        <v>33.261619337362312</v>
      </c>
      <c r="H83" s="4">
        <f t="shared" si="35"/>
        <v>49.936606603336649</v>
      </c>
      <c r="I83" s="4"/>
      <c r="J83" s="4"/>
      <c r="K83" s="4">
        <f t="shared" si="36"/>
        <v>-137.52140648824488</v>
      </c>
      <c r="L83" s="4">
        <f t="shared" si="37"/>
        <v>71.469474670296364</v>
      </c>
      <c r="M83" s="4">
        <f t="shared" si="38"/>
        <v>18912.137242505079</v>
      </c>
      <c r="N83" s="4">
        <f t="shared" si="39"/>
        <v>5107.8858096481335</v>
      </c>
      <c r="O83" s="4"/>
      <c r="P83" s="4"/>
      <c r="Q83" s="4"/>
      <c r="R83" s="4"/>
      <c r="S83" s="4"/>
      <c r="T83" s="4"/>
      <c r="U83" s="4"/>
      <c r="V83" s="4"/>
      <c r="W83" s="5"/>
    </row>
    <row r="84" spans="1:23">
      <c r="A84" s="3">
        <v>21</v>
      </c>
      <c r="B84" s="25"/>
      <c r="C84" s="25"/>
      <c r="D84" s="4" t="str">
        <f t="shared" si="31"/>
        <v xml:space="preserve"> </v>
      </c>
      <c r="E84" s="4" t="str">
        <f t="shared" si="32"/>
        <v xml:space="preserve"> </v>
      </c>
      <c r="F84" s="4" t="str">
        <f t="shared" si="33"/>
        <v xml:space="preserve"> </v>
      </c>
      <c r="G84" s="4" t="str">
        <f t="shared" si="34"/>
        <v xml:space="preserve"> </v>
      </c>
      <c r="H84" s="4" t="str">
        <f t="shared" si="35"/>
        <v xml:space="preserve"> </v>
      </c>
      <c r="I84" s="4"/>
      <c r="J84" s="4"/>
      <c r="K84" s="4" t="str">
        <f t="shared" si="36"/>
        <v xml:space="preserve"> </v>
      </c>
      <c r="L84" s="4" t="str">
        <f t="shared" si="37"/>
        <v xml:space="preserve"> </v>
      </c>
      <c r="M84" s="4" t="str">
        <f t="shared" si="38"/>
        <v xml:space="preserve"> </v>
      </c>
      <c r="N84" s="4" t="str">
        <f t="shared" si="39"/>
        <v xml:space="preserve"> </v>
      </c>
      <c r="O84" s="4"/>
      <c r="P84" s="4"/>
      <c r="Q84" s="4"/>
      <c r="R84" s="4"/>
      <c r="S84" s="4"/>
      <c r="T84" s="4"/>
      <c r="U84" s="4"/>
      <c r="V84" s="4"/>
      <c r="W84" s="5"/>
    </row>
    <row r="85" spans="1:23">
      <c r="A85" s="3">
        <v>22</v>
      </c>
      <c r="B85" s="25"/>
      <c r="C85" s="25"/>
      <c r="D85" s="4" t="str">
        <f t="shared" si="31"/>
        <v xml:space="preserve"> </v>
      </c>
      <c r="E85" s="4" t="str">
        <f t="shared" si="32"/>
        <v xml:space="preserve"> </v>
      </c>
      <c r="F85" s="4" t="str">
        <f t="shared" si="33"/>
        <v xml:space="preserve"> </v>
      </c>
      <c r="G85" s="4" t="str">
        <f t="shared" si="34"/>
        <v xml:space="preserve"> </v>
      </c>
      <c r="H85" s="4" t="str">
        <f t="shared" si="35"/>
        <v xml:space="preserve"> </v>
      </c>
      <c r="I85" s="4"/>
      <c r="J85" s="4"/>
      <c r="K85" s="4" t="str">
        <f t="shared" si="36"/>
        <v xml:space="preserve"> </v>
      </c>
      <c r="L85" s="4" t="str">
        <f t="shared" si="37"/>
        <v xml:space="preserve"> </v>
      </c>
      <c r="M85" s="4" t="str">
        <f t="shared" si="38"/>
        <v xml:space="preserve"> </v>
      </c>
      <c r="N85" s="4" t="str">
        <f t="shared" si="39"/>
        <v xml:space="preserve"> </v>
      </c>
      <c r="O85" s="4"/>
      <c r="P85" s="4"/>
      <c r="Q85" s="4"/>
      <c r="R85" s="4"/>
      <c r="S85" s="4"/>
      <c r="T85" s="4"/>
      <c r="U85" s="4"/>
      <c r="V85" s="4"/>
      <c r="W85" s="5"/>
    </row>
    <row r="86" spans="1:23">
      <c r="A86" s="3">
        <v>23</v>
      </c>
      <c r="B86" s="25"/>
      <c r="C86" s="25"/>
      <c r="D86" s="4" t="str">
        <f t="shared" si="31"/>
        <v xml:space="preserve"> </v>
      </c>
      <c r="E86" s="4" t="str">
        <f t="shared" si="32"/>
        <v xml:space="preserve"> </v>
      </c>
      <c r="F86" s="4" t="str">
        <f t="shared" si="33"/>
        <v xml:space="preserve"> </v>
      </c>
      <c r="G86" s="4" t="str">
        <f t="shared" si="34"/>
        <v xml:space="preserve"> </v>
      </c>
      <c r="H86" s="4" t="str">
        <f t="shared" si="35"/>
        <v xml:space="preserve"> </v>
      </c>
      <c r="I86" s="4"/>
      <c r="J86" s="4"/>
      <c r="K86" s="4" t="str">
        <f t="shared" si="36"/>
        <v xml:space="preserve"> </v>
      </c>
      <c r="L86" s="4" t="str">
        <f t="shared" si="37"/>
        <v xml:space="preserve"> </v>
      </c>
      <c r="M86" s="4" t="str">
        <f t="shared" si="38"/>
        <v xml:space="preserve"> </v>
      </c>
      <c r="N86" s="4" t="str">
        <f t="shared" si="39"/>
        <v xml:space="preserve"> </v>
      </c>
      <c r="O86" s="4"/>
      <c r="P86" s="4"/>
      <c r="Q86" s="4"/>
      <c r="R86" s="4"/>
      <c r="S86" s="4"/>
      <c r="T86" s="4"/>
      <c r="U86" s="4"/>
      <c r="V86" s="4"/>
      <c r="W86" s="5"/>
    </row>
    <row r="87" spans="1:23" ht="15.75" thickBot="1">
      <c r="A87" s="6">
        <v>24</v>
      </c>
      <c r="B87" s="26"/>
      <c r="C87" s="26"/>
      <c r="D87" s="7" t="str">
        <f t="shared" si="31"/>
        <v xml:space="preserve"> </v>
      </c>
      <c r="E87" s="7" t="str">
        <f t="shared" si="32"/>
        <v xml:space="preserve"> </v>
      </c>
      <c r="F87" s="7" t="str">
        <f t="shared" si="33"/>
        <v xml:space="preserve"> </v>
      </c>
      <c r="G87" s="7" t="str">
        <f t="shared" si="34"/>
        <v xml:space="preserve"> </v>
      </c>
      <c r="H87" s="7" t="str">
        <f t="shared" si="35"/>
        <v xml:space="preserve"> </v>
      </c>
      <c r="I87" s="7"/>
      <c r="J87" s="7"/>
      <c r="K87" s="7" t="str">
        <f t="shared" si="36"/>
        <v xml:space="preserve"> </v>
      </c>
      <c r="L87" s="7" t="str">
        <f t="shared" si="37"/>
        <v xml:space="preserve"> </v>
      </c>
      <c r="M87" s="7" t="str">
        <f t="shared" si="38"/>
        <v xml:space="preserve"> </v>
      </c>
      <c r="N87" s="7" t="str">
        <f t="shared" si="39"/>
        <v xml:space="preserve"> </v>
      </c>
      <c r="O87" s="7"/>
      <c r="P87" s="7"/>
      <c r="Q87" s="7"/>
      <c r="R87" s="7"/>
      <c r="S87" s="7"/>
      <c r="T87" s="7"/>
      <c r="U87" s="7"/>
      <c r="V87" s="7"/>
      <c r="W87" s="8"/>
    </row>
    <row r="88" spans="1:23" ht="19.5" thickBot="1">
      <c r="A88" s="112" t="s">
        <v>80</v>
      </c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</row>
    <row r="89" spans="1:23" ht="30">
      <c r="A89" s="1" t="s">
        <v>2</v>
      </c>
      <c r="B89" s="23" t="s">
        <v>0</v>
      </c>
      <c r="C89" s="23" t="s">
        <v>1</v>
      </c>
      <c r="D89" s="11" t="s">
        <v>51</v>
      </c>
      <c r="E89" s="2" t="s">
        <v>4</v>
      </c>
      <c r="F89" s="11" t="s">
        <v>5</v>
      </c>
      <c r="G89" s="2" t="s">
        <v>3</v>
      </c>
      <c r="H89" s="2" t="s">
        <v>21</v>
      </c>
      <c r="I89" s="2" t="s">
        <v>6</v>
      </c>
      <c r="J89" s="2" t="s">
        <v>7</v>
      </c>
      <c r="K89" s="2" t="s">
        <v>8</v>
      </c>
      <c r="L89" s="2" t="s">
        <v>9</v>
      </c>
      <c r="M89" s="2" t="s">
        <v>10</v>
      </c>
      <c r="N89" s="2" t="s">
        <v>11</v>
      </c>
      <c r="O89" s="2" t="s">
        <v>12</v>
      </c>
      <c r="P89" s="2" t="s">
        <v>13</v>
      </c>
      <c r="Q89" s="2" t="s">
        <v>14</v>
      </c>
      <c r="R89" s="2" t="s">
        <v>15</v>
      </c>
      <c r="S89" s="2" t="s">
        <v>16</v>
      </c>
      <c r="T89" s="12" t="s">
        <v>17</v>
      </c>
      <c r="U89" s="12" t="s">
        <v>18</v>
      </c>
      <c r="V89" s="13" t="s">
        <v>19</v>
      </c>
      <c r="W89" s="9" t="s">
        <v>22</v>
      </c>
    </row>
    <row r="90" spans="1:23">
      <c r="A90" s="3">
        <v>1</v>
      </c>
      <c r="B90" s="25">
        <v>319.55</v>
      </c>
      <c r="C90" s="25">
        <v>90</v>
      </c>
      <c r="D90" s="4">
        <f t="shared" ref="D90:D112" si="40">IF(B90,B90-$C$4," ")</f>
        <v>49.550000000000011</v>
      </c>
      <c r="E90" s="4">
        <f t="shared" ref="E90:E112" si="41">IF(B90,INT(D90)," ")</f>
        <v>49</v>
      </c>
      <c r="F90" s="4">
        <f t="shared" ref="F90:F112" si="42">IF(B90,((D90-E90)/60*100)," ")</f>
        <v>0.91666666666668561</v>
      </c>
      <c r="G90" s="4">
        <f t="shared" ref="G90:G112" si="43">IF(B90,C90*COS(PI()/180*(E90+F90))," ")</f>
        <v>57.951098630718725</v>
      </c>
      <c r="H90" s="4">
        <f t="shared" ref="H90:H112" si="44">IF(B90,(C90*SIN(PI()/180*(E90+F90)))," ")</f>
        <v>68.859786287010138</v>
      </c>
      <c r="I90" s="4">
        <f>SUM(G90:G105)/G6</f>
        <v>56.452576699747951</v>
      </c>
      <c r="J90" s="4">
        <f>SUM(H90:H105)/G6</f>
        <v>91.476285802612949</v>
      </c>
      <c r="K90" s="4">
        <f t="shared" ref="K90:K113" si="45">IF(B90,SUM(G90,-$I$12)," ")</f>
        <v>-112.83192719488846</v>
      </c>
      <c r="L90" s="4">
        <f t="shared" ref="L90:L113" si="46">IF(B90,SUM(H90,-$J$12)," ")</f>
        <v>90.39265435396986</v>
      </c>
      <c r="M90" s="4">
        <f t="shared" ref="M90:M113" si="47">IF(B90,POWER(K90,2)," ")</f>
        <v>12731.04379451261</v>
      </c>
      <c r="N90" s="4">
        <f t="shared" ref="N90:N113" si="48">IF(B90,POWER(L90,2)," ")</f>
        <v>8170.8319611562665</v>
      </c>
      <c r="O90" s="4">
        <f>G6-1</f>
        <v>15</v>
      </c>
      <c r="P90" s="4">
        <f>SUM(M90:M113)</f>
        <v>217641.92614882888</v>
      </c>
      <c r="Q90" s="4">
        <f>SUM(N90:N113)</f>
        <v>206393.53265685402</v>
      </c>
      <c r="R90" s="4">
        <f>PRODUCT(P90,1/$O$38)</f>
        <v>9462.6924412534299</v>
      </c>
      <c r="S90" s="4">
        <f>PRODUCT(Q90,1/$O$38)</f>
        <v>8973.631854645826</v>
      </c>
      <c r="T90" s="4">
        <f>SQRT(R90)</f>
        <v>97.276371443703795</v>
      </c>
      <c r="U90" s="4">
        <f>SQRT(S90)</f>
        <v>94.729255537272252</v>
      </c>
      <c r="V90" s="4">
        <f>PRODUCT(T90:U90)</f>
        <v>9214.9182482292308</v>
      </c>
      <c r="W90" s="10">
        <f>SQRT(V90)</f>
        <v>95.994365710854254</v>
      </c>
    </row>
    <row r="91" spans="1:23">
      <c r="A91" s="3">
        <v>2</v>
      </c>
      <c r="B91" s="25">
        <v>317.2</v>
      </c>
      <c r="C91" s="25">
        <v>108</v>
      </c>
      <c r="D91" s="4">
        <f t="shared" si="40"/>
        <v>47.199999999999989</v>
      </c>
      <c r="E91" s="4">
        <f t="shared" si="41"/>
        <v>47</v>
      </c>
      <c r="F91" s="4">
        <f t="shared" si="42"/>
        <v>0.33333333333331439</v>
      </c>
      <c r="G91" s="4">
        <f t="shared" si="43"/>
        <v>73.195055907739118</v>
      </c>
      <c r="H91" s="4">
        <f t="shared" si="44"/>
        <v>79.413372870461458</v>
      </c>
      <c r="I91" s="4"/>
      <c r="J91" s="4"/>
      <c r="K91" s="4">
        <f t="shared" si="45"/>
        <v>-97.587969917868065</v>
      </c>
      <c r="L91" s="4">
        <f t="shared" si="46"/>
        <v>100.94624093742118</v>
      </c>
      <c r="M91" s="4">
        <f t="shared" si="47"/>
        <v>9523.4118726907218</v>
      </c>
      <c r="N91" s="4">
        <f t="shared" si="48"/>
        <v>10190.143559395889</v>
      </c>
      <c r="O91" s="4"/>
      <c r="P91" s="4"/>
      <c r="Q91" s="4"/>
      <c r="R91" s="4"/>
      <c r="S91" s="4"/>
      <c r="T91" s="4"/>
      <c r="U91" s="4"/>
      <c r="V91" s="4"/>
      <c r="W91" s="5"/>
    </row>
    <row r="92" spans="1:23">
      <c r="A92" s="3">
        <v>3</v>
      </c>
      <c r="B92" s="25">
        <v>346.45</v>
      </c>
      <c r="C92" s="25">
        <v>82</v>
      </c>
      <c r="D92" s="4">
        <f t="shared" si="40"/>
        <v>76.449999999999989</v>
      </c>
      <c r="E92" s="4">
        <f t="shared" si="41"/>
        <v>76</v>
      </c>
      <c r="F92" s="4">
        <f t="shared" si="42"/>
        <v>0.74999999999998102</v>
      </c>
      <c r="G92" s="4">
        <f t="shared" si="43"/>
        <v>18.794432055637987</v>
      </c>
      <c r="H92" s="4">
        <f t="shared" si="44"/>
        <v>79.817099193756761</v>
      </c>
      <c r="I92" s="4"/>
      <c r="J92" s="4"/>
      <c r="K92" s="4">
        <f t="shared" si="45"/>
        <v>-151.98859376996919</v>
      </c>
      <c r="L92" s="4">
        <f t="shared" si="46"/>
        <v>101.34996726071648</v>
      </c>
      <c r="M92" s="4">
        <f t="shared" si="47"/>
        <v>23100.532636172717</v>
      </c>
      <c r="N92" s="4">
        <f t="shared" si="48"/>
        <v>10271.815863748303</v>
      </c>
      <c r="O92" s="4"/>
      <c r="P92" s="4"/>
      <c r="Q92" s="4"/>
      <c r="R92" s="4"/>
      <c r="S92" s="4"/>
      <c r="T92" s="4"/>
      <c r="U92" s="4"/>
      <c r="V92" s="4"/>
      <c r="W92" s="5"/>
    </row>
    <row r="93" spans="1:23">
      <c r="A93" s="3">
        <v>4</v>
      </c>
      <c r="B93" s="25">
        <v>339</v>
      </c>
      <c r="C93" s="25">
        <v>86</v>
      </c>
      <c r="D93" s="4">
        <f t="shared" si="40"/>
        <v>69</v>
      </c>
      <c r="E93" s="4">
        <f t="shared" si="41"/>
        <v>69</v>
      </c>
      <c r="F93" s="4">
        <f t="shared" si="42"/>
        <v>0</v>
      </c>
      <c r="G93" s="4">
        <f t="shared" si="43"/>
        <v>30.819643660895832</v>
      </c>
      <c r="H93" s="4">
        <f t="shared" si="44"/>
        <v>80.287916678759345</v>
      </c>
      <c r="I93" s="4"/>
      <c r="J93" s="4"/>
      <c r="K93" s="4">
        <f t="shared" si="45"/>
        <v>-139.96338216471136</v>
      </c>
      <c r="L93" s="4">
        <f t="shared" si="46"/>
        <v>101.82078474571907</v>
      </c>
      <c r="M93" s="4">
        <f t="shared" si="47"/>
        <v>19589.748346985041</v>
      </c>
      <c r="N93" s="4">
        <f t="shared" si="48"/>
        <v>10367.472206234057</v>
      </c>
      <c r="O93" s="4"/>
      <c r="P93" s="4"/>
      <c r="Q93" s="4"/>
      <c r="R93" s="4"/>
      <c r="S93" s="4"/>
      <c r="T93" s="4"/>
      <c r="U93" s="4"/>
      <c r="V93" s="4"/>
      <c r="W93" s="5"/>
    </row>
    <row r="94" spans="1:23">
      <c r="A94" s="3">
        <v>5</v>
      </c>
      <c r="B94" s="25">
        <v>349.3</v>
      </c>
      <c r="C94" s="25">
        <v>86</v>
      </c>
      <c r="D94" s="4">
        <f t="shared" si="40"/>
        <v>79.300000000000011</v>
      </c>
      <c r="E94" s="4">
        <f t="shared" si="41"/>
        <v>79</v>
      </c>
      <c r="F94" s="4">
        <f t="shared" si="42"/>
        <v>0.50000000000001887</v>
      </c>
      <c r="G94" s="4">
        <f t="shared" si="43"/>
        <v>15.672255192324661</v>
      </c>
      <c r="H94" s="4">
        <f t="shared" si="44"/>
        <v>84.559922050500091</v>
      </c>
      <c r="I94" s="4"/>
      <c r="J94" s="4"/>
      <c r="K94" s="4">
        <f t="shared" si="45"/>
        <v>-155.11077063328253</v>
      </c>
      <c r="L94" s="4">
        <f t="shared" si="46"/>
        <v>106.09279011745981</v>
      </c>
      <c r="M94" s="4">
        <f t="shared" si="47"/>
        <v>24059.351166450782</v>
      </c>
      <c r="N94" s="4">
        <f t="shared" si="48"/>
        <v>11255.680114907378</v>
      </c>
      <c r="O94" s="4"/>
      <c r="P94" s="4"/>
      <c r="Q94" s="4"/>
      <c r="R94" s="4"/>
      <c r="S94" s="4"/>
      <c r="T94" s="4"/>
      <c r="U94" s="4"/>
      <c r="V94" s="4"/>
      <c r="W94" s="5"/>
    </row>
    <row r="95" spans="1:23">
      <c r="A95" s="3">
        <v>6</v>
      </c>
      <c r="B95" s="25">
        <v>336</v>
      </c>
      <c r="C95" s="25">
        <v>94</v>
      </c>
      <c r="D95" s="4">
        <f t="shared" si="40"/>
        <v>66</v>
      </c>
      <c r="E95" s="4">
        <f t="shared" si="41"/>
        <v>66</v>
      </c>
      <c r="F95" s="4">
        <f t="shared" si="42"/>
        <v>0</v>
      </c>
      <c r="G95" s="4">
        <f t="shared" si="43"/>
        <v>38.233244449125216</v>
      </c>
      <c r="H95" s="4">
        <f t="shared" si="44"/>
        <v>85.873273018404475</v>
      </c>
      <c r="I95" s="4"/>
      <c r="J95" s="4"/>
      <c r="K95" s="4">
        <f t="shared" si="45"/>
        <v>-132.54978137648197</v>
      </c>
      <c r="L95" s="4">
        <f t="shared" si="46"/>
        <v>107.4061410853642</v>
      </c>
      <c r="M95" s="4">
        <f t="shared" si="47"/>
        <v>17569.444542953166</v>
      </c>
      <c r="N95" s="4">
        <f t="shared" si="48"/>
        <v>11536.079142849159</v>
      </c>
      <c r="O95" s="4"/>
      <c r="P95" s="4"/>
      <c r="Q95" s="4"/>
      <c r="R95" s="4"/>
      <c r="S95" s="4"/>
      <c r="T95" s="4"/>
      <c r="U95" s="4"/>
      <c r="V95" s="4"/>
      <c r="W95" s="5"/>
    </row>
    <row r="96" spans="1:23">
      <c r="A96" s="3">
        <v>7</v>
      </c>
      <c r="B96" s="25">
        <v>331.4</v>
      </c>
      <c r="C96" s="25">
        <v>98</v>
      </c>
      <c r="D96" s="4">
        <f t="shared" si="40"/>
        <v>61.399999999999977</v>
      </c>
      <c r="E96" s="4">
        <f t="shared" si="41"/>
        <v>61</v>
      </c>
      <c r="F96" s="4">
        <f t="shared" si="42"/>
        <v>0.66666666666662877</v>
      </c>
      <c r="G96" s="4">
        <f t="shared" si="43"/>
        <v>46.510836235268812</v>
      </c>
      <c r="H96" s="4">
        <f t="shared" si="44"/>
        <v>86.259736335650857</v>
      </c>
      <c r="I96" s="4"/>
      <c r="J96" s="4"/>
      <c r="K96" s="4">
        <f t="shared" si="45"/>
        <v>-124.27218959033837</v>
      </c>
      <c r="L96" s="4">
        <f t="shared" si="46"/>
        <v>107.79260440261058</v>
      </c>
      <c r="M96" s="4">
        <f t="shared" si="47"/>
        <v>15443.577105577004</v>
      </c>
      <c r="N96" s="4">
        <f t="shared" si="48"/>
        <v>11619.245563897701</v>
      </c>
      <c r="O96" s="4"/>
      <c r="P96" s="4"/>
      <c r="Q96" s="4"/>
      <c r="R96" s="4"/>
      <c r="S96" s="4"/>
      <c r="T96" s="4"/>
      <c r="U96" s="4"/>
      <c r="V96" s="4"/>
      <c r="W96" s="5"/>
    </row>
    <row r="97" spans="1:23">
      <c r="A97" s="3">
        <v>8</v>
      </c>
      <c r="B97" s="25">
        <v>317.05</v>
      </c>
      <c r="C97" s="25">
        <v>124</v>
      </c>
      <c r="D97" s="4">
        <f t="shared" si="40"/>
        <v>47.050000000000011</v>
      </c>
      <c r="E97" s="4">
        <f t="shared" si="41"/>
        <v>47</v>
      </c>
      <c r="F97" s="4">
        <f t="shared" si="42"/>
        <v>8.3333333333352286E-2</v>
      </c>
      <c r="G97" s="4">
        <f t="shared" si="43"/>
        <v>84.435807102701204</v>
      </c>
      <c r="H97" s="4">
        <f t="shared" si="44"/>
        <v>90.810761911325429</v>
      </c>
      <c r="I97" s="4"/>
      <c r="J97" s="4"/>
      <c r="K97" s="4">
        <f t="shared" si="45"/>
        <v>-86.347218722905978</v>
      </c>
      <c r="L97" s="4">
        <f t="shared" si="46"/>
        <v>112.34362997828515</v>
      </c>
      <c r="M97" s="4">
        <f t="shared" si="47"/>
        <v>7455.842181181365</v>
      </c>
      <c r="N97" s="4">
        <f t="shared" si="48"/>
        <v>12621.091196697849</v>
      </c>
      <c r="O97" s="4"/>
      <c r="P97" s="4"/>
      <c r="Q97" s="4"/>
      <c r="R97" s="4"/>
      <c r="S97" s="4"/>
      <c r="T97" s="4"/>
      <c r="U97" s="4"/>
      <c r="V97" s="4"/>
      <c r="W97" s="5"/>
    </row>
    <row r="98" spans="1:23">
      <c r="A98" s="3">
        <v>9</v>
      </c>
      <c r="B98" s="25">
        <v>321.3</v>
      </c>
      <c r="C98" s="25">
        <v>120</v>
      </c>
      <c r="D98" s="4">
        <f t="shared" si="40"/>
        <v>51.300000000000011</v>
      </c>
      <c r="E98" s="4">
        <f t="shared" si="41"/>
        <v>51</v>
      </c>
      <c r="F98" s="4">
        <f t="shared" si="42"/>
        <v>0.50000000000001887</v>
      </c>
      <c r="G98" s="4">
        <f t="shared" si="43"/>
        <v>74.701756396514313</v>
      </c>
      <c r="H98" s="4">
        <f t="shared" si="44"/>
        <v>93.912978822289702</v>
      </c>
      <c r="I98" s="4"/>
      <c r="J98" s="4"/>
      <c r="K98" s="4">
        <f t="shared" si="45"/>
        <v>-96.08126942909287</v>
      </c>
      <c r="L98" s="4">
        <f t="shared" si="46"/>
        <v>115.44584688924942</v>
      </c>
      <c r="M98" s="4">
        <f t="shared" si="47"/>
        <v>9231.6103351059355</v>
      </c>
      <c r="N98" s="4">
        <f t="shared" si="48"/>
        <v>13327.743563976021</v>
      </c>
      <c r="O98" s="4"/>
      <c r="P98" s="4"/>
      <c r="Q98" s="4"/>
      <c r="R98" s="4"/>
      <c r="S98" s="4"/>
      <c r="T98" s="4"/>
      <c r="U98" s="4"/>
      <c r="V98" s="4"/>
      <c r="W98" s="5"/>
    </row>
    <row r="99" spans="1:23">
      <c r="A99" s="3">
        <v>10</v>
      </c>
      <c r="B99" s="25">
        <v>335.3</v>
      </c>
      <c r="C99" s="25">
        <v>104</v>
      </c>
      <c r="D99" s="4">
        <f t="shared" si="40"/>
        <v>65.300000000000011</v>
      </c>
      <c r="E99" s="4">
        <f t="shared" si="41"/>
        <v>65</v>
      </c>
      <c r="F99" s="4">
        <f t="shared" si="42"/>
        <v>0.50000000000001887</v>
      </c>
      <c r="G99" s="4">
        <f t="shared" si="43"/>
        <v>43.128097236248848</v>
      </c>
      <c r="H99" s="4">
        <f t="shared" si="44"/>
        <v>94.635972171160489</v>
      </c>
      <c r="I99" s="4"/>
      <c r="J99" s="4"/>
      <c r="K99" s="4">
        <f t="shared" si="45"/>
        <v>-127.65492858935833</v>
      </c>
      <c r="L99" s="4">
        <f t="shared" si="46"/>
        <v>116.16884023812021</v>
      </c>
      <c r="M99" s="4">
        <f t="shared" si="47"/>
        <v>16295.780793154176</v>
      </c>
      <c r="N99" s="4">
        <f t="shared" si="48"/>
        <v>13495.199442269897</v>
      </c>
      <c r="O99" s="4"/>
      <c r="P99" s="4"/>
      <c r="Q99" s="4"/>
      <c r="R99" s="4"/>
      <c r="S99" s="4"/>
      <c r="T99" s="4"/>
      <c r="U99" s="4"/>
      <c r="V99" s="4"/>
      <c r="W99" s="5"/>
    </row>
    <row r="100" spans="1:23" ht="15.75" thickBot="1">
      <c r="A100" s="3">
        <v>11</v>
      </c>
      <c r="B100" s="26">
        <v>327.5</v>
      </c>
      <c r="C100" s="25">
        <v>112</v>
      </c>
      <c r="D100" s="4">
        <f t="shared" si="40"/>
        <v>57.5</v>
      </c>
      <c r="E100" s="4">
        <f t="shared" si="41"/>
        <v>57</v>
      </c>
      <c r="F100" s="4">
        <f t="shared" si="42"/>
        <v>0.83333333333333337</v>
      </c>
      <c r="G100" s="4">
        <f t="shared" si="43"/>
        <v>59.626995757311192</v>
      </c>
      <c r="H100" s="4">
        <f t="shared" si="44"/>
        <v>94.808340228893329</v>
      </c>
      <c r="I100" s="4"/>
      <c r="J100" s="4"/>
      <c r="K100" s="4">
        <f t="shared" si="45"/>
        <v>-111.15603006829599</v>
      </c>
      <c r="L100" s="4">
        <f t="shared" si="46"/>
        <v>116.34120829585305</v>
      </c>
      <c r="M100" s="4">
        <f t="shared" si="47"/>
        <v>12355.663020543921</v>
      </c>
      <c r="N100" s="4">
        <f t="shared" si="48"/>
        <v>13535.276747739066</v>
      </c>
      <c r="O100" s="4"/>
      <c r="P100" s="4"/>
      <c r="Q100" s="4"/>
      <c r="R100" s="4"/>
      <c r="S100" s="4"/>
      <c r="T100" s="4"/>
      <c r="U100" s="4"/>
      <c r="V100" s="4"/>
      <c r="W100" s="5"/>
    </row>
    <row r="101" spans="1:23">
      <c r="A101" s="3">
        <v>12</v>
      </c>
      <c r="B101" s="25">
        <v>316.25</v>
      </c>
      <c r="C101" s="25">
        <v>138</v>
      </c>
      <c r="D101" s="4">
        <f t="shared" si="40"/>
        <v>46.25</v>
      </c>
      <c r="E101" s="4">
        <f t="shared" si="41"/>
        <v>46</v>
      </c>
      <c r="F101" s="4">
        <f t="shared" si="42"/>
        <v>0.41666666666666669</v>
      </c>
      <c r="G101" s="4">
        <f t="shared" si="43"/>
        <v>95.13842288792388</v>
      </c>
      <c r="H101" s="4">
        <f t="shared" si="44"/>
        <v>99.963395752638178</v>
      </c>
      <c r="I101" s="4"/>
      <c r="J101" s="4"/>
      <c r="K101" s="4">
        <f t="shared" si="45"/>
        <v>-75.644602937683302</v>
      </c>
      <c r="L101" s="4">
        <f t="shared" si="46"/>
        <v>121.4962638195979</v>
      </c>
      <c r="M101" s="4">
        <f t="shared" si="47"/>
        <v>5722.1059535997656</v>
      </c>
      <c r="N101" s="4">
        <f t="shared" si="48"/>
        <v>14761.342122121334</v>
      </c>
      <c r="O101" s="4"/>
      <c r="P101" s="4"/>
      <c r="Q101" s="4"/>
      <c r="R101" s="4"/>
      <c r="S101" s="4"/>
      <c r="T101" s="4"/>
      <c r="U101" s="4"/>
      <c r="V101" s="4"/>
      <c r="W101" s="5"/>
    </row>
    <row r="102" spans="1:23">
      <c r="A102" s="3">
        <v>13</v>
      </c>
      <c r="B102" s="25">
        <v>334.2</v>
      </c>
      <c r="C102" s="25">
        <v>112</v>
      </c>
      <c r="D102" s="4">
        <f t="shared" si="40"/>
        <v>64.199999999999989</v>
      </c>
      <c r="E102" s="4">
        <f t="shared" si="41"/>
        <v>64</v>
      </c>
      <c r="F102" s="4">
        <f t="shared" si="42"/>
        <v>0.33333333333331439</v>
      </c>
      <c r="G102" s="4">
        <f t="shared" si="43"/>
        <v>48.511096017099888</v>
      </c>
      <c r="H102" s="4">
        <f t="shared" si="44"/>
        <v>100.94886608189175</v>
      </c>
      <c r="I102" s="4"/>
      <c r="J102" s="4"/>
      <c r="K102" s="4">
        <f t="shared" si="45"/>
        <v>-122.27192980850729</v>
      </c>
      <c r="L102" s="4">
        <f t="shared" si="46"/>
        <v>122.48173414885147</v>
      </c>
      <c r="M102" s="4">
        <f t="shared" si="47"/>
        <v>14950.424819096535</v>
      </c>
      <c r="N102" s="4">
        <f t="shared" si="48"/>
        <v>15001.775200109929</v>
      </c>
      <c r="O102" s="4"/>
      <c r="P102" s="4"/>
      <c r="Q102" s="4"/>
      <c r="R102" s="4"/>
      <c r="S102" s="4"/>
      <c r="T102" s="4"/>
      <c r="U102" s="4"/>
      <c r="V102" s="4"/>
      <c r="W102" s="5"/>
    </row>
    <row r="103" spans="1:23">
      <c r="A103" s="3">
        <v>14</v>
      </c>
      <c r="B103" s="25">
        <v>330.55</v>
      </c>
      <c r="C103" s="25">
        <v>118</v>
      </c>
      <c r="D103" s="4">
        <f t="shared" si="40"/>
        <v>60.550000000000011</v>
      </c>
      <c r="E103" s="4">
        <f t="shared" si="41"/>
        <v>60</v>
      </c>
      <c r="F103" s="4">
        <f t="shared" si="42"/>
        <v>0.91666666666668561</v>
      </c>
      <c r="G103" s="4">
        <f t="shared" si="43"/>
        <v>57.357580398107345</v>
      </c>
      <c r="H103" s="4">
        <f t="shared" si="44"/>
        <v>103.12181132464001</v>
      </c>
      <c r="I103" s="4"/>
      <c r="J103" s="4"/>
      <c r="K103" s="4">
        <f t="shared" si="45"/>
        <v>-113.42544542749984</v>
      </c>
      <c r="L103" s="4">
        <f t="shared" si="46"/>
        <v>124.65467939159973</v>
      </c>
      <c r="M103" s="4">
        <f t="shared" si="47"/>
        <v>12865.331670426744</v>
      </c>
      <c r="N103" s="4">
        <f t="shared" si="48"/>
        <v>15538.789094222519</v>
      </c>
      <c r="O103" s="4"/>
      <c r="P103" s="4"/>
      <c r="Q103" s="4"/>
      <c r="R103" s="4"/>
      <c r="S103" s="4"/>
      <c r="T103" s="4"/>
      <c r="U103" s="4"/>
      <c r="V103" s="4"/>
      <c r="W103" s="5"/>
    </row>
    <row r="104" spans="1:23">
      <c r="A104" s="3">
        <v>15</v>
      </c>
      <c r="B104" s="25">
        <v>326.2</v>
      </c>
      <c r="C104" s="25">
        <v>130</v>
      </c>
      <c r="D104" s="4">
        <f t="shared" si="40"/>
        <v>56.199999999999989</v>
      </c>
      <c r="E104" s="4">
        <f t="shared" si="41"/>
        <v>56</v>
      </c>
      <c r="F104" s="4">
        <f t="shared" si="42"/>
        <v>0.33333333333331439</v>
      </c>
      <c r="G104" s="4">
        <f t="shared" si="43"/>
        <v>72.066841897618332</v>
      </c>
      <c r="H104" s="4">
        <f t="shared" si="44"/>
        <v>108.19598097389607</v>
      </c>
      <c r="I104" s="4"/>
      <c r="J104" s="4"/>
      <c r="K104" s="4">
        <f t="shared" si="45"/>
        <v>-98.716183927988851</v>
      </c>
      <c r="L104" s="4">
        <f t="shared" si="46"/>
        <v>129.72884904085578</v>
      </c>
      <c r="M104" s="4">
        <f t="shared" si="47"/>
        <v>9744.8849693045249</v>
      </c>
      <c r="N104" s="4">
        <f t="shared" si="48"/>
        <v>16829.574273465147</v>
      </c>
      <c r="O104" s="4"/>
      <c r="P104" s="4"/>
      <c r="Q104" s="4"/>
      <c r="R104" s="4"/>
      <c r="S104" s="4"/>
      <c r="T104" s="4"/>
      <c r="U104" s="4"/>
      <c r="V104" s="4"/>
      <c r="W104" s="5"/>
    </row>
    <row r="105" spans="1:23" ht="15.75" thickBot="1">
      <c r="A105" s="3">
        <v>16</v>
      </c>
      <c r="B105" s="26">
        <v>322.10000000000002</v>
      </c>
      <c r="C105" s="26">
        <v>142</v>
      </c>
      <c r="D105" s="4">
        <f t="shared" si="40"/>
        <v>52.100000000000023</v>
      </c>
      <c r="E105" s="4">
        <f t="shared" si="41"/>
        <v>52</v>
      </c>
      <c r="F105" s="4">
        <f t="shared" si="42"/>
        <v>0.16666666666670457</v>
      </c>
      <c r="G105" s="4">
        <f t="shared" si="43"/>
        <v>87.098063370731921</v>
      </c>
      <c r="H105" s="4">
        <f t="shared" si="44"/>
        <v>112.15135914052922</v>
      </c>
      <c r="I105" s="4"/>
      <c r="J105" s="4"/>
      <c r="K105" s="4">
        <f t="shared" si="45"/>
        <v>-83.684962454875262</v>
      </c>
      <c r="L105" s="4">
        <f t="shared" si="46"/>
        <v>133.68422720748893</v>
      </c>
      <c r="M105" s="4">
        <f t="shared" si="47"/>
        <v>7003.1729410738826</v>
      </c>
      <c r="N105" s="4">
        <f t="shared" si="48"/>
        <v>17871.472604063525</v>
      </c>
      <c r="O105" s="4"/>
      <c r="P105" s="4"/>
      <c r="Q105" s="4"/>
      <c r="R105" s="4"/>
      <c r="S105" s="4"/>
      <c r="T105" s="4"/>
      <c r="U105" s="4"/>
      <c r="V105" s="4"/>
      <c r="W105" s="5"/>
    </row>
    <row r="106" spans="1:23">
      <c r="A106" s="3">
        <v>17</v>
      </c>
      <c r="B106" s="25"/>
      <c r="C106" s="25"/>
      <c r="D106" s="4" t="str">
        <f t="shared" si="40"/>
        <v xml:space="preserve"> </v>
      </c>
      <c r="E106" s="4" t="str">
        <f t="shared" si="41"/>
        <v xml:space="preserve"> </v>
      </c>
      <c r="F106" s="4" t="str">
        <f t="shared" si="42"/>
        <v xml:space="preserve"> </v>
      </c>
      <c r="G106" s="4" t="str">
        <f t="shared" si="43"/>
        <v xml:space="preserve"> </v>
      </c>
      <c r="H106" s="4" t="str">
        <f t="shared" si="44"/>
        <v xml:space="preserve"> </v>
      </c>
      <c r="I106" s="4"/>
      <c r="J106" s="4"/>
      <c r="K106" s="4" t="str">
        <f t="shared" si="45"/>
        <v xml:space="preserve"> </v>
      </c>
      <c r="L106" s="4" t="str">
        <f t="shared" si="46"/>
        <v xml:space="preserve"> </v>
      </c>
      <c r="M106" s="4" t="str">
        <f t="shared" si="47"/>
        <v xml:space="preserve"> </v>
      </c>
      <c r="N106" s="4" t="str">
        <f t="shared" si="48"/>
        <v xml:space="preserve"> </v>
      </c>
      <c r="O106" s="4"/>
      <c r="P106" s="4"/>
      <c r="Q106" s="4"/>
      <c r="R106" s="4"/>
      <c r="S106" s="4"/>
      <c r="T106" s="4"/>
      <c r="U106" s="4"/>
      <c r="V106" s="4"/>
      <c r="W106" s="5"/>
    </row>
    <row r="107" spans="1:23">
      <c r="A107" s="3">
        <v>18</v>
      </c>
      <c r="B107" s="25"/>
      <c r="C107" s="25"/>
      <c r="D107" s="4" t="str">
        <f t="shared" si="40"/>
        <v xml:space="preserve"> </v>
      </c>
      <c r="E107" s="4" t="str">
        <f t="shared" si="41"/>
        <v xml:space="preserve"> </v>
      </c>
      <c r="F107" s="4" t="str">
        <f t="shared" si="42"/>
        <v xml:space="preserve"> </v>
      </c>
      <c r="G107" s="4" t="str">
        <f t="shared" si="43"/>
        <v xml:space="preserve"> </v>
      </c>
      <c r="H107" s="4" t="str">
        <f t="shared" si="44"/>
        <v xml:space="preserve"> </v>
      </c>
      <c r="I107" s="4"/>
      <c r="J107" s="4"/>
      <c r="K107" s="4" t="str">
        <f t="shared" si="45"/>
        <v xml:space="preserve"> </v>
      </c>
      <c r="L107" s="4" t="str">
        <f t="shared" si="46"/>
        <v xml:space="preserve"> </v>
      </c>
      <c r="M107" s="4" t="str">
        <f t="shared" si="47"/>
        <v xml:space="preserve"> </v>
      </c>
      <c r="N107" s="4" t="str">
        <f t="shared" si="48"/>
        <v xml:space="preserve"> </v>
      </c>
      <c r="O107" s="4"/>
      <c r="P107" s="4"/>
      <c r="Q107" s="4"/>
      <c r="R107" s="4"/>
      <c r="S107" s="4"/>
      <c r="T107" s="4"/>
      <c r="U107" s="4"/>
      <c r="V107" s="4"/>
      <c r="W107" s="5"/>
    </row>
    <row r="108" spans="1:23">
      <c r="A108" s="3">
        <v>19</v>
      </c>
      <c r="B108" s="25"/>
      <c r="C108" s="25"/>
      <c r="D108" s="4" t="str">
        <f t="shared" si="40"/>
        <v xml:space="preserve"> </v>
      </c>
      <c r="E108" s="4" t="str">
        <f t="shared" si="41"/>
        <v xml:space="preserve"> </v>
      </c>
      <c r="F108" s="4" t="str">
        <f t="shared" si="42"/>
        <v xml:space="preserve"> </v>
      </c>
      <c r="G108" s="4" t="str">
        <f t="shared" si="43"/>
        <v xml:space="preserve"> </v>
      </c>
      <c r="H108" s="4" t="str">
        <f t="shared" si="44"/>
        <v xml:space="preserve"> </v>
      </c>
      <c r="I108" s="4"/>
      <c r="J108" s="4"/>
      <c r="K108" s="4" t="str">
        <f t="shared" si="45"/>
        <v xml:space="preserve"> </v>
      </c>
      <c r="L108" s="4" t="str">
        <f t="shared" si="46"/>
        <v xml:space="preserve"> </v>
      </c>
      <c r="M108" s="4" t="str">
        <f t="shared" si="47"/>
        <v xml:space="preserve"> </v>
      </c>
      <c r="N108" s="4" t="str">
        <f t="shared" si="48"/>
        <v xml:space="preserve"> </v>
      </c>
      <c r="O108" s="4"/>
      <c r="P108" s="4"/>
      <c r="Q108" s="4"/>
      <c r="R108" s="4"/>
      <c r="S108" s="4"/>
      <c r="T108" s="4"/>
      <c r="U108" s="4"/>
      <c r="V108" s="4"/>
      <c r="W108" s="5"/>
    </row>
    <row r="109" spans="1:23">
      <c r="A109" s="3">
        <v>20</v>
      </c>
      <c r="B109" s="25"/>
      <c r="C109" s="25"/>
      <c r="D109" s="4" t="str">
        <f t="shared" si="40"/>
        <v xml:space="preserve"> </v>
      </c>
      <c r="E109" s="4" t="str">
        <f t="shared" si="41"/>
        <v xml:space="preserve"> </v>
      </c>
      <c r="F109" s="4" t="str">
        <f t="shared" si="42"/>
        <v xml:space="preserve"> </v>
      </c>
      <c r="G109" s="4" t="str">
        <f t="shared" si="43"/>
        <v xml:space="preserve"> </v>
      </c>
      <c r="H109" s="4" t="str">
        <f t="shared" si="44"/>
        <v xml:space="preserve"> </v>
      </c>
      <c r="I109" s="4"/>
      <c r="J109" s="4"/>
      <c r="K109" s="4" t="str">
        <f t="shared" si="45"/>
        <v xml:space="preserve"> </v>
      </c>
      <c r="L109" s="4" t="str">
        <f t="shared" si="46"/>
        <v xml:space="preserve"> </v>
      </c>
      <c r="M109" s="4" t="str">
        <f t="shared" si="47"/>
        <v xml:space="preserve"> </v>
      </c>
      <c r="N109" s="4" t="str">
        <f t="shared" si="48"/>
        <v xml:space="preserve"> </v>
      </c>
      <c r="O109" s="4"/>
      <c r="P109" s="4"/>
      <c r="Q109" s="4"/>
      <c r="R109" s="4"/>
      <c r="S109" s="4"/>
      <c r="T109" s="4"/>
      <c r="U109" s="4"/>
      <c r="V109" s="4"/>
      <c r="W109" s="5"/>
    </row>
    <row r="110" spans="1:23" ht="15.75" thickBot="1">
      <c r="A110" s="3">
        <v>21</v>
      </c>
      <c r="B110" s="26"/>
      <c r="C110" s="26"/>
      <c r="D110" s="4" t="str">
        <f t="shared" si="40"/>
        <v xml:space="preserve"> </v>
      </c>
      <c r="E110" s="4" t="str">
        <f t="shared" si="41"/>
        <v xml:space="preserve"> </v>
      </c>
      <c r="F110" s="4" t="str">
        <f t="shared" si="42"/>
        <v xml:space="preserve"> </v>
      </c>
      <c r="G110" s="4" t="str">
        <f t="shared" si="43"/>
        <v xml:space="preserve"> </v>
      </c>
      <c r="H110" s="4" t="str">
        <f t="shared" si="44"/>
        <v xml:space="preserve"> </v>
      </c>
      <c r="I110" s="4"/>
      <c r="J110" s="4"/>
      <c r="K110" s="4" t="str">
        <f t="shared" si="45"/>
        <v xml:space="preserve"> </v>
      </c>
      <c r="L110" s="4" t="str">
        <f t="shared" si="46"/>
        <v xml:space="preserve"> </v>
      </c>
      <c r="M110" s="4" t="str">
        <f t="shared" si="47"/>
        <v xml:space="preserve"> </v>
      </c>
      <c r="N110" s="4" t="str">
        <f t="shared" si="48"/>
        <v xml:space="preserve"> </v>
      </c>
      <c r="O110" s="4"/>
      <c r="P110" s="4"/>
      <c r="Q110" s="4"/>
      <c r="R110" s="4"/>
      <c r="S110" s="4"/>
      <c r="T110" s="4"/>
      <c r="U110" s="4"/>
      <c r="V110" s="4"/>
      <c r="W110" s="5"/>
    </row>
    <row r="111" spans="1:23" ht="15.75" thickBot="1">
      <c r="A111" s="3">
        <v>22</v>
      </c>
      <c r="B111" s="26"/>
      <c r="C111" s="26"/>
      <c r="D111" s="4" t="str">
        <f t="shared" si="40"/>
        <v xml:space="preserve"> </v>
      </c>
      <c r="E111" s="4" t="str">
        <f t="shared" si="41"/>
        <v xml:space="preserve"> </v>
      </c>
      <c r="F111" s="4" t="str">
        <f t="shared" si="42"/>
        <v xml:space="preserve"> </v>
      </c>
      <c r="G111" s="4" t="str">
        <f t="shared" si="43"/>
        <v xml:space="preserve"> </v>
      </c>
      <c r="H111" s="4" t="str">
        <f t="shared" si="44"/>
        <v xml:space="preserve"> </v>
      </c>
      <c r="I111" s="4"/>
      <c r="J111" s="4"/>
      <c r="K111" s="4" t="str">
        <f t="shared" si="45"/>
        <v xml:space="preserve"> </v>
      </c>
      <c r="L111" s="4" t="str">
        <f t="shared" si="46"/>
        <v xml:space="preserve"> </v>
      </c>
      <c r="M111" s="4" t="str">
        <f t="shared" si="47"/>
        <v xml:space="preserve"> </v>
      </c>
      <c r="N111" s="4" t="str">
        <f t="shared" si="48"/>
        <v xml:space="preserve"> </v>
      </c>
      <c r="O111" s="4"/>
      <c r="P111" s="4"/>
      <c r="Q111" s="4"/>
      <c r="R111" s="4"/>
      <c r="S111" s="4"/>
      <c r="T111" s="4"/>
      <c r="U111" s="4"/>
      <c r="V111" s="4"/>
      <c r="W111" s="5"/>
    </row>
    <row r="112" spans="1:23" ht="15.75" thickBot="1">
      <c r="A112" s="3">
        <v>23</v>
      </c>
      <c r="B112" s="26"/>
      <c r="C112" s="26"/>
      <c r="D112" s="7" t="str">
        <f t="shared" si="40"/>
        <v xml:space="preserve"> </v>
      </c>
      <c r="E112" s="7" t="str">
        <f t="shared" si="41"/>
        <v xml:space="preserve"> </v>
      </c>
      <c r="F112" s="7" t="str">
        <f t="shared" si="42"/>
        <v xml:space="preserve"> </v>
      </c>
      <c r="G112" s="7" t="str">
        <f t="shared" si="43"/>
        <v xml:space="preserve"> </v>
      </c>
      <c r="H112" s="7" t="str">
        <f t="shared" si="44"/>
        <v xml:space="preserve"> </v>
      </c>
      <c r="I112" s="4"/>
      <c r="J112" s="4"/>
      <c r="K112" s="4" t="str">
        <f t="shared" si="45"/>
        <v xml:space="preserve"> </v>
      </c>
      <c r="L112" s="4" t="str">
        <f t="shared" si="46"/>
        <v xml:space="preserve"> </v>
      </c>
      <c r="M112" s="4" t="str">
        <f t="shared" si="47"/>
        <v xml:space="preserve"> </v>
      </c>
      <c r="N112" s="4" t="str">
        <f t="shared" si="48"/>
        <v xml:space="preserve"> </v>
      </c>
      <c r="O112" s="4"/>
      <c r="P112" s="4"/>
      <c r="Q112" s="4"/>
      <c r="R112" s="4"/>
      <c r="S112" s="4"/>
      <c r="T112" s="4"/>
      <c r="U112" s="4"/>
      <c r="V112" s="4"/>
      <c r="W112" s="5"/>
    </row>
    <row r="113" spans="1:23" ht="15.75" thickBot="1">
      <c r="A113" s="6">
        <v>24</v>
      </c>
      <c r="B113" s="26"/>
      <c r="C113" s="26"/>
      <c r="D113" s="7" t="str">
        <f t="shared" ref="D113" si="49">IF(B113,B113-$C$4," ")</f>
        <v xml:space="preserve"> </v>
      </c>
      <c r="E113" s="7" t="str">
        <f t="shared" ref="E113" si="50">IF(B113,INT(D113)," ")</f>
        <v xml:space="preserve"> </v>
      </c>
      <c r="F113" s="7" t="str">
        <f t="shared" ref="F113" si="51">IF(B113,((D113-E113)/60*100)," ")</f>
        <v xml:space="preserve"> </v>
      </c>
      <c r="G113" s="7" t="str">
        <f t="shared" ref="G113" si="52">IF(B113,C113*COS(PI()/180*(E113+F113))," ")</f>
        <v xml:space="preserve"> </v>
      </c>
      <c r="H113" s="7" t="str">
        <f t="shared" ref="H113" si="53">IF(B113,(C113*SIN(PI()/180*(E113+F113)))," ")</f>
        <v xml:space="preserve"> </v>
      </c>
      <c r="I113" s="7"/>
      <c r="J113" s="7"/>
      <c r="K113" s="7" t="str">
        <f t="shared" si="45"/>
        <v xml:space="preserve"> </v>
      </c>
      <c r="L113" s="7" t="str">
        <f t="shared" si="46"/>
        <v xml:space="preserve"> </v>
      </c>
      <c r="M113" s="7" t="str">
        <f t="shared" si="47"/>
        <v xml:space="preserve"> </v>
      </c>
      <c r="N113" s="7" t="str">
        <f t="shared" si="48"/>
        <v xml:space="preserve"> </v>
      </c>
      <c r="O113" s="7"/>
      <c r="P113" s="7"/>
      <c r="Q113" s="7"/>
      <c r="R113" s="7"/>
      <c r="S113" s="7"/>
      <c r="T113" s="7"/>
      <c r="U113" s="7"/>
      <c r="V113" s="7"/>
      <c r="W113" s="8"/>
    </row>
  </sheetData>
  <sortState ref="AB12:AH35">
    <sortCondition ref="AG12:AG35"/>
  </sortState>
  <mergeCells count="9">
    <mergeCell ref="AA10:AW10"/>
    <mergeCell ref="AA36:AW36"/>
    <mergeCell ref="A62:W62"/>
    <mergeCell ref="A88:W88"/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2"/>
  </sheetPr>
  <dimension ref="A1:W62"/>
  <sheetViews>
    <sheetView topLeftCell="A80" zoomScale="70" zoomScaleNormal="70" workbookViewId="0">
      <selection activeCell="O7" sqref="O7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77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8"/>
      <c r="H2" s="28"/>
      <c r="I2" s="107" t="s">
        <v>23</v>
      </c>
      <c r="J2" s="10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IF(E6,((I12+I38)/2),I12)</f>
        <v>-6.3901187850739252</v>
      </c>
      <c r="J4" s="16">
        <f>IF(E6,((J12+J38)/2),J12)</f>
        <v>101.17651933317224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21</v>
      </c>
      <c r="E6" s="22">
        <v>0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349.3</v>
      </c>
      <c r="C12" s="25">
        <v>88</v>
      </c>
      <c r="D12" s="4">
        <f>IF(B12,B12-$C$4," ")</f>
        <v>79.300000000000011</v>
      </c>
      <c r="E12" s="4">
        <f>IF(B12,INT(D12)," ")</f>
        <v>79</v>
      </c>
      <c r="F12" s="4">
        <f>IF(B12,((D12-E12)/60*100)," ")</f>
        <v>0.50000000000001887</v>
      </c>
      <c r="G12" s="4">
        <f>IF(B12,C12*COS(PI()/180*(E12+F12))," ")</f>
        <v>16.036726243308955</v>
      </c>
      <c r="H12" s="4">
        <f>IF(B12,(C12*SIN(PI()/180*(E12+F12)))," ")</f>
        <v>86.526431865628012</v>
      </c>
      <c r="I12" s="4">
        <f>SUM(G12:G32)/D6</f>
        <v>-6.3901187850739252</v>
      </c>
      <c r="J12" s="4">
        <f>SUM(H12:H32)/D6</f>
        <v>101.17651933317224</v>
      </c>
      <c r="K12" s="4">
        <f>IF(B12,SUM(G12,-$I$12)," ")</f>
        <v>22.426845028382878</v>
      </c>
      <c r="L12" s="4">
        <f>IF(B12,SUM(H12,-$J$12)," ")</f>
        <v>-14.650087467544225</v>
      </c>
      <c r="M12" s="4">
        <f>IF(B12,POWER(K12,2)," ")</f>
        <v>502.96337792710182</v>
      </c>
      <c r="N12" s="4">
        <f>IF(B12,POWER(L12,2)," ")</f>
        <v>214.62506280669635</v>
      </c>
      <c r="O12" s="4">
        <f>D6-1</f>
        <v>20</v>
      </c>
      <c r="P12" s="4">
        <f>SUM(M12:M35)</f>
        <v>23135.326376057095</v>
      </c>
      <c r="Q12" s="4">
        <f>SUM(N12:N35)</f>
        <v>1960.7182922171921</v>
      </c>
      <c r="R12" s="4">
        <f>PRODUCT(P12,1/$O$12)</f>
        <v>1156.7663188028548</v>
      </c>
      <c r="S12" s="4">
        <f>PRODUCT(Q12,1/$O$12)</f>
        <v>98.035914610859606</v>
      </c>
      <c r="T12" s="4">
        <f>SQRT(R12)</f>
        <v>34.011267527142458</v>
      </c>
      <c r="U12" s="4">
        <f>SQRT(S12)</f>
        <v>9.9013087322262407</v>
      </c>
      <c r="V12" s="4">
        <f>PRODUCT(T12:U12)</f>
        <v>336.75606016057839</v>
      </c>
      <c r="W12" s="10">
        <f>SQRT(V12)</f>
        <v>18.350914423008419</v>
      </c>
    </row>
    <row r="13" spans="1:23">
      <c r="A13" s="3">
        <v>2</v>
      </c>
      <c r="B13" s="25">
        <v>340.25</v>
      </c>
      <c r="C13" s="25">
        <v>102</v>
      </c>
      <c r="D13" s="4">
        <f t="shared" ref="D13:D35" si="0">IF(B13,B13-$C$4," ")</f>
        <v>70.25</v>
      </c>
      <c r="E13" s="4">
        <f t="shared" ref="E13:E35" si="1">IF(B13,INT(D13)," ")</f>
        <v>70</v>
      </c>
      <c r="F13" s="4">
        <f t="shared" ref="F13:F35" si="2">IF(B13,((D13-E13)/60*100)," ")</f>
        <v>0.41666666666666669</v>
      </c>
      <c r="G13" s="4">
        <f t="shared" ref="G13:G32" si="3">IF(B13,C13*COS(PI()/180*(E13+F13))," ")</f>
        <v>34.188107260008039</v>
      </c>
      <c r="H13" s="4">
        <f t="shared" ref="H13:H32" si="4">IF(B13,(C13*SIN(PI()/180*(E13+F13)))," ")</f>
        <v>96.099809167230845</v>
      </c>
      <c r="I13" s="4"/>
      <c r="J13" s="4"/>
      <c r="K13" s="4">
        <f t="shared" ref="K13:K35" si="5">IF(B13,SUM(G13,-$I$12)," ")</f>
        <v>40.578226045081962</v>
      </c>
      <c r="L13" s="4">
        <f t="shared" ref="L13:L35" si="6">IF(B13,SUM(H13,-$J$12)," ")</f>
        <v>-5.0767101659413925</v>
      </c>
      <c r="M13" s="4">
        <f t="shared" ref="M13:M35" si="7">IF(B13,POWER(K13,2)," ")</f>
        <v>1646.592428965768</v>
      </c>
      <c r="N13" s="4">
        <f t="shared" ref="N13:N34" si="8">IF(B13,POWER(L13,2)," ")</f>
        <v>25.772986108972681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336.2</v>
      </c>
      <c r="C14" s="25">
        <v>114</v>
      </c>
      <c r="D14" s="4">
        <f t="shared" si="0"/>
        <v>66.199999999999989</v>
      </c>
      <c r="E14" s="4">
        <f t="shared" si="1"/>
        <v>66</v>
      </c>
      <c r="F14" s="4">
        <f t="shared" si="2"/>
        <v>0.33333333333331439</v>
      </c>
      <c r="G14" s="4">
        <f t="shared" si="3"/>
        <v>45.761309744707198</v>
      </c>
      <c r="H14" s="4">
        <f t="shared" si="4"/>
        <v>104.41217615991425</v>
      </c>
      <c r="I14" s="4"/>
      <c r="J14" s="4"/>
      <c r="K14" s="4">
        <f t="shared" si="5"/>
        <v>52.151428529781121</v>
      </c>
      <c r="L14" s="4">
        <f t="shared" si="6"/>
        <v>3.2356568267420158</v>
      </c>
      <c r="M14" s="4">
        <f t="shared" si="7"/>
        <v>2719.7714976968682</v>
      </c>
      <c r="N14" s="4">
        <f t="shared" si="8"/>
        <v>10.469475100442212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344.2</v>
      </c>
      <c r="C15" s="25">
        <v>116</v>
      </c>
      <c r="D15" s="4">
        <f t="shared" si="0"/>
        <v>74.199999999999989</v>
      </c>
      <c r="E15" s="4">
        <f t="shared" si="1"/>
        <v>74</v>
      </c>
      <c r="F15" s="4">
        <f t="shared" si="2"/>
        <v>0.33333333333331439</v>
      </c>
      <c r="G15" s="4">
        <f t="shared" si="3"/>
        <v>31.324678147528122</v>
      </c>
      <c r="H15" s="4">
        <f t="shared" si="4"/>
        <v>111.69048544506275</v>
      </c>
      <c r="I15" s="4"/>
      <c r="J15" s="4"/>
      <c r="K15" s="4">
        <f t="shared" si="5"/>
        <v>37.714796932602049</v>
      </c>
      <c r="L15" s="4">
        <f t="shared" si="6"/>
        <v>10.513966111890511</v>
      </c>
      <c r="M15" s="4">
        <f t="shared" si="7"/>
        <v>1422.4059076674089</v>
      </c>
      <c r="N15" s="4">
        <f t="shared" si="8"/>
        <v>110.54348340198207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348.05</v>
      </c>
      <c r="C16" s="25">
        <v>114</v>
      </c>
      <c r="D16" s="4">
        <f t="shared" si="0"/>
        <v>78.050000000000011</v>
      </c>
      <c r="E16" s="4">
        <f t="shared" si="1"/>
        <v>78</v>
      </c>
      <c r="F16" s="4">
        <f t="shared" si="2"/>
        <v>8.3333333333352286E-2</v>
      </c>
      <c r="G16" s="4">
        <f t="shared" si="3"/>
        <v>23.539724726958561</v>
      </c>
      <c r="H16" s="4">
        <f t="shared" si="4"/>
        <v>111.5431815925071</v>
      </c>
      <c r="I16" s="4"/>
      <c r="J16" s="4"/>
      <c r="K16" s="4">
        <f>IF(B16,SUM(G16,-$I$12)," ")</f>
        <v>29.929843512032484</v>
      </c>
      <c r="L16" s="4">
        <f t="shared" si="6"/>
        <v>10.366662259334859</v>
      </c>
      <c r="M16" s="4">
        <f t="shared" si="7"/>
        <v>895.79553265475295</v>
      </c>
      <c r="N16" s="4">
        <f t="shared" si="8"/>
        <v>107.46768639911772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357.35</v>
      </c>
      <c r="C17" s="25">
        <v>106</v>
      </c>
      <c r="D17" s="4">
        <f t="shared" si="0"/>
        <v>87.350000000000023</v>
      </c>
      <c r="E17" s="4">
        <f t="shared" si="1"/>
        <v>87</v>
      </c>
      <c r="F17" s="4">
        <f t="shared" si="2"/>
        <v>0.58333333333337123</v>
      </c>
      <c r="G17" s="4">
        <f t="shared" si="3"/>
        <v>4.469626210393332</v>
      </c>
      <c r="H17" s="4">
        <f t="shared" si="4"/>
        <v>105.90572430959227</v>
      </c>
      <c r="I17" s="4"/>
      <c r="J17" s="4"/>
      <c r="K17" s="4">
        <f t="shared" si="5"/>
        <v>10.859744995467256</v>
      </c>
      <c r="L17" s="4">
        <f t="shared" si="6"/>
        <v>4.7292049764200357</v>
      </c>
      <c r="M17" s="4">
        <f t="shared" si="7"/>
        <v>117.93406136657612</v>
      </c>
      <c r="N17" s="4">
        <f t="shared" si="8"/>
        <v>22.365379708996031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358.15</v>
      </c>
      <c r="C18" s="30">
        <v>98</v>
      </c>
      <c r="D18" s="4">
        <f t="shared" si="0"/>
        <v>88.149999999999977</v>
      </c>
      <c r="E18" s="4">
        <f t="shared" si="1"/>
        <v>88</v>
      </c>
      <c r="F18" s="4">
        <f t="shared" si="2"/>
        <v>0.24999999999996211</v>
      </c>
      <c r="G18" s="4">
        <f t="shared" si="3"/>
        <v>2.9927742945627016</v>
      </c>
      <c r="H18" s="4">
        <f t="shared" si="4"/>
        <v>97.954291901997863</v>
      </c>
      <c r="I18" s="4"/>
      <c r="J18" s="4"/>
      <c r="K18" s="4">
        <f t="shared" si="5"/>
        <v>9.3828930796366272</v>
      </c>
      <c r="L18" s="4">
        <f t="shared" si="6"/>
        <v>-3.2222274311743746</v>
      </c>
      <c r="M18" s="4">
        <f t="shared" si="7"/>
        <v>88.038682543892904</v>
      </c>
      <c r="N18" s="4">
        <f t="shared" si="8"/>
        <v>10.382749618212609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4</v>
      </c>
      <c r="C19" s="30">
        <v>98</v>
      </c>
      <c r="D19" s="4">
        <f t="shared" si="0"/>
        <v>-266</v>
      </c>
      <c r="E19" s="4">
        <f t="shared" si="1"/>
        <v>-266</v>
      </c>
      <c r="F19" s="4">
        <f t="shared" si="2"/>
        <v>0</v>
      </c>
      <c r="G19" s="4">
        <f t="shared" si="3"/>
        <v>-6.836134426924307</v>
      </c>
      <c r="H19" s="4">
        <f t="shared" si="4"/>
        <v>97.761276925462766</v>
      </c>
      <c r="I19" s="4"/>
      <c r="J19" s="4"/>
      <c r="K19" s="4">
        <f t="shared" si="5"/>
        <v>-0.44601564185038178</v>
      </c>
      <c r="L19" s="4">
        <f t="shared" si="6"/>
        <v>-3.4152424077094707</v>
      </c>
      <c r="M19" s="4">
        <f t="shared" si="7"/>
        <v>0.19892995277520803</v>
      </c>
      <c r="N19" s="4">
        <f t="shared" si="8"/>
        <v>11.663880703417183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6.5</v>
      </c>
      <c r="C20" s="25">
        <v>118</v>
      </c>
      <c r="D20" s="4">
        <f t="shared" si="0"/>
        <v>-263.5</v>
      </c>
      <c r="E20" s="4">
        <f t="shared" si="1"/>
        <v>-264</v>
      </c>
      <c r="F20" s="4">
        <f t="shared" si="2"/>
        <v>0.83333333333333337</v>
      </c>
      <c r="G20" s="4">
        <f t="shared" si="3"/>
        <v>-14.039832593939016</v>
      </c>
      <c r="H20" s="4">
        <f t="shared" si="4"/>
        <v>117.16178174103604</v>
      </c>
      <c r="I20" s="4"/>
      <c r="J20" s="4"/>
      <c r="K20" s="4">
        <f t="shared" si="5"/>
        <v>-7.6497138088650907</v>
      </c>
      <c r="L20" s="4">
        <f t="shared" si="6"/>
        <v>15.9852624078638</v>
      </c>
      <c r="M20" s="4">
        <f t="shared" si="7"/>
        <v>58.518121357541254</v>
      </c>
      <c r="N20" s="4">
        <f t="shared" si="8"/>
        <v>255.52861424826358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10.3</v>
      </c>
      <c r="C21" s="25">
        <v>114</v>
      </c>
      <c r="D21" s="4">
        <f t="shared" si="0"/>
        <v>-259.7</v>
      </c>
      <c r="E21" s="4">
        <f t="shared" si="1"/>
        <v>-260</v>
      </c>
      <c r="F21" s="4">
        <f t="shared" si="2"/>
        <v>0.50000000000001887</v>
      </c>
      <c r="G21" s="4">
        <f t="shared" si="3"/>
        <v>-20.774849906104848</v>
      </c>
      <c r="H21" s="4">
        <f t="shared" si="4"/>
        <v>112.09105946229081</v>
      </c>
      <c r="I21" s="4"/>
      <c r="J21" s="4"/>
      <c r="K21" s="4">
        <f t="shared" si="5"/>
        <v>-14.384731121030923</v>
      </c>
      <c r="L21" s="4">
        <f t="shared" si="6"/>
        <v>10.914540129118578</v>
      </c>
      <c r="M21" s="4">
        <f t="shared" si="7"/>
        <v>206.92048942435554</v>
      </c>
      <c r="N21" s="4">
        <f t="shared" si="8"/>
        <v>119.12718623013978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23.4</v>
      </c>
      <c r="C22" s="25">
        <v>120</v>
      </c>
      <c r="D22" s="4">
        <f t="shared" si="0"/>
        <v>-246.6</v>
      </c>
      <c r="E22" s="4">
        <f t="shared" si="1"/>
        <v>-247</v>
      </c>
      <c r="F22" s="4">
        <f t="shared" si="2"/>
        <v>0.66666666666667618</v>
      </c>
      <c r="G22" s="4">
        <f t="shared" si="3"/>
        <v>-48.1697997312708</v>
      </c>
      <c r="H22" s="4">
        <f t="shared" si="4"/>
        <v>109.9075538525413</v>
      </c>
      <c r="I22" s="4"/>
      <c r="J22" s="4"/>
      <c r="K22" s="4">
        <f t="shared" si="5"/>
        <v>-41.779680946196876</v>
      </c>
      <c r="L22" s="4">
        <f t="shared" si="6"/>
        <v>8.7310345193690608</v>
      </c>
      <c r="M22" s="4">
        <f t="shared" si="7"/>
        <v>1745.5417399660064</v>
      </c>
      <c r="N22" s="4">
        <f t="shared" si="8"/>
        <v>76.230963778414122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38.549999999999997</v>
      </c>
      <c r="C23" s="25">
        <v>138</v>
      </c>
      <c r="D23" s="4">
        <f t="shared" si="0"/>
        <v>-231.45</v>
      </c>
      <c r="E23" s="4">
        <f t="shared" si="1"/>
        <v>-232</v>
      </c>
      <c r="F23" s="4">
        <f t="shared" si="2"/>
        <v>0.91666666666668561</v>
      </c>
      <c r="G23" s="4">
        <f t="shared" si="3"/>
        <v>-86.690138971048043</v>
      </c>
      <c r="H23" s="4">
        <f t="shared" si="4"/>
        <v>107.37234190041856</v>
      </c>
      <c r="I23" s="4"/>
      <c r="J23" s="4"/>
      <c r="K23" s="4">
        <f t="shared" si="5"/>
        <v>-80.30002018597412</v>
      </c>
      <c r="L23" s="4">
        <f t="shared" si="6"/>
        <v>6.1958225672463243</v>
      </c>
      <c r="M23" s="4">
        <f t="shared" si="7"/>
        <v>6448.0932418678512</v>
      </c>
      <c r="N23" s="4">
        <f t="shared" si="8"/>
        <v>38.388217284798834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37.25</v>
      </c>
      <c r="C24" s="25">
        <v>118</v>
      </c>
      <c r="D24" s="4">
        <f t="shared" si="0"/>
        <v>-232.75</v>
      </c>
      <c r="E24" s="4">
        <f t="shared" si="1"/>
        <v>-233</v>
      </c>
      <c r="F24" s="4">
        <f t="shared" si="2"/>
        <v>0.41666666666666669</v>
      </c>
      <c r="G24" s="4">
        <f t="shared" si="3"/>
        <v>-71.697614184552805</v>
      </c>
      <c r="H24" s="4">
        <f t="shared" si="4"/>
        <v>93.720073198024195</v>
      </c>
      <c r="I24" s="4"/>
      <c r="J24" s="4"/>
      <c r="K24" s="4">
        <f t="shared" si="5"/>
        <v>-65.307495399478881</v>
      </c>
      <c r="L24" s="4">
        <f t="shared" si="6"/>
        <v>-7.4564461351480418</v>
      </c>
      <c r="M24" s="4">
        <f t="shared" si="7"/>
        <v>4265.0689553529555</v>
      </c>
      <c r="N24" s="4">
        <f t="shared" si="8"/>
        <v>55.598588966364169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26.15</v>
      </c>
      <c r="C25" s="25">
        <v>100</v>
      </c>
      <c r="D25" s="4">
        <f t="shared" si="0"/>
        <v>-243.85</v>
      </c>
      <c r="E25" s="4">
        <f t="shared" si="1"/>
        <v>-244</v>
      </c>
      <c r="F25" s="4">
        <f t="shared" si="2"/>
        <v>0.25000000000000944</v>
      </c>
      <c r="G25" s="4">
        <f t="shared" si="3"/>
        <v>-44.228869021900138</v>
      </c>
      <c r="H25" s="4">
        <f t="shared" si="4"/>
        <v>89.687274153268831</v>
      </c>
      <c r="I25" s="4"/>
      <c r="J25" s="4"/>
      <c r="K25" s="4">
        <f t="shared" si="5"/>
        <v>-37.838750236826215</v>
      </c>
      <c r="L25" s="4">
        <f t="shared" si="6"/>
        <v>-11.489245179903406</v>
      </c>
      <c r="M25" s="4">
        <f t="shared" si="7"/>
        <v>1431.771019484916</v>
      </c>
      <c r="N25" s="4">
        <f t="shared" si="8"/>
        <v>132.00275480393367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16.25</v>
      </c>
      <c r="C26" s="25">
        <v>90</v>
      </c>
      <c r="D26" s="4">
        <f t="shared" si="0"/>
        <v>-253.75</v>
      </c>
      <c r="E26" s="4">
        <f t="shared" si="1"/>
        <v>-254</v>
      </c>
      <c r="F26" s="4">
        <f t="shared" si="2"/>
        <v>0.41666666666666669</v>
      </c>
      <c r="G26" s="4">
        <f t="shared" si="3"/>
        <v>-25.435844821552287</v>
      </c>
      <c r="H26" s="4">
        <f t="shared" si="4"/>
        <v>86.330862373857428</v>
      </c>
      <c r="I26" s="4"/>
      <c r="J26" s="4"/>
      <c r="K26" s="4">
        <f t="shared" si="5"/>
        <v>-19.045726036478364</v>
      </c>
      <c r="L26" s="4">
        <f t="shared" si="6"/>
        <v>-14.845656959314809</v>
      </c>
      <c r="M26" s="4">
        <f t="shared" si="7"/>
        <v>362.73968025658985</v>
      </c>
      <c r="N26" s="4">
        <f t="shared" si="8"/>
        <v>220.39353055365223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7.55</v>
      </c>
      <c r="C27" s="25">
        <v>94</v>
      </c>
      <c r="D27" s="4">
        <f t="shared" si="0"/>
        <v>-262.45</v>
      </c>
      <c r="E27" s="4">
        <f t="shared" si="1"/>
        <v>-263</v>
      </c>
      <c r="F27" s="4">
        <f t="shared" si="2"/>
        <v>0.91666666666668561</v>
      </c>
      <c r="G27" s="4">
        <f t="shared" si="3"/>
        <v>-12.946870767702029</v>
      </c>
      <c r="H27" s="4">
        <f t="shared" si="4"/>
        <v>93.104127391455762</v>
      </c>
      <c r="I27" s="4"/>
      <c r="J27" s="4"/>
      <c r="K27" s="4">
        <f t="shared" si="5"/>
        <v>-6.5567519826281035</v>
      </c>
      <c r="L27" s="4">
        <f t="shared" si="6"/>
        <v>-8.0723919417164751</v>
      </c>
      <c r="M27" s="4">
        <f t="shared" si="7"/>
        <v>42.990996561697564</v>
      </c>
      <c r="N27" s="4">
        <f t="shared" si="8"/>
        <v>65.163511660689082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359.2</v>
      </c>
      <c r="C28" s="25">
        <v>110</v>
      </c>
      <c r="D28" s="4">
        <f t="shared" si="0"/>
        <v>89.199999999999989</v>
      </c>
      <c r="E28" s="4">
        <f t="shared" si="1"/>
        <v>89</v>
      </c>
      <c r="F28" s="4">
        <f t="shared" si="2"/>
        <v>0.33333333333331439</v>
      </c>
      <c r="G28" s="4">
        <f t="shared" si="3"/>
        <v>1.2798792381537127</v>
      </c>
      <c r="H28" s="4">
        <f t="shared" si="4"/>
        <v>109.99255388041384</v>
      </c>
      <c r="I28" s="4"/>
      <c r="J28" s="4"/>
      <c r="K28" s="4">
        <f t="shared" si="5"/>
        <v>7.6699980232276381</v>
      </c>
      <c r="L28" s="4">
        <f t="shared" si="6"/>
        <v>8.8160345472415997</v>
      </c>
      <c r="M28" s="4">
        <f t="shared" si="7"/>
        <v>58.828869676315875</v>
      </c>
      <c r="N28" s="4">
        <f t="shared" si="8"/>
        <v>77.722465138157403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358.25</v>
      </c>
      <c r="C29" s="25">
        <v>112</v>
      </c>
      <c r="D29" s="4">
        <f t="shared" si="0"/>
        <v>88.25</v>
      </c>
      <c r="E29" s="4">
        <f t="shared" si="1"/>
        <v>88</v>
      </c>
      <c r="F29" s="4">
        <f t="shared" si="2"/>
        <v>0.41666666666666669</v>
      </c>
      <c r="G29" s="4">
        <f t="shared" si="3"/>
        <v>3.094656628070934</v>
      </c>
      <c r="H29" s="4">
        <f t="shared" si="4"/>
        <v>111.95723782031396</v>
      </c>
      <c r="I29" s="4"/>
      <c r="J29" s="4"/>
      <c r="K29" s="4">
        <f t="shared" si="5"/>
        <v>9.4847754131448596</v>
      </c>
      <c r="L29" s="4">
        <f t="shared" si="6"/>
        <v>10.780718487141726</v>
      </c>
      <c r="M29" s="4">
        <f t="shared" si="7"/>
        <v>89.960964637797247</v>
      </c>
      <c r="N29" s="4">
        <f t="shared" si="8"/>
        <v>116.22389109899939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357.4</v>
      </c>
      <c r="C30" s="25">
        <v>90</v>
      </c>
      <c r="D30" s="4">
        <f t="shared" si="0"/>
        <v>87.399999999999977</v>
      </c>
      <c r="E30" s="4">
        <f t="shared" si="1"/>
        <v>87</v>
      </c>
      <c r="F30" s="4">
        <f t="shared" si="2"/>
        <v>0.66666666666662877</v>
      </c>
      <c r="G30" s="4">
        <f t="shared" si="3"/>
        <v>3.6641784099236885</v>
      </c>
      <c r="H30" s="4">
        <f t="shared" si="4"/>
        <v>89.925379046074909</v>
      </c>
      <c r="I30" s="4"/>
      <c r="J30" s="4"/>
      <c r="K30" s="4">
        <f t="shared" si="5"/>
        <v>10.054297194997613</v>
      </c>
      <c r="L30" s="4">
        <f t="shared" si="6"/>
        <v>-11.251140287097328</v>
      </c>
      <c r="M30" s="4">
        <f t="shared" si="7"/>
        <v>101.08889208533687</v>
      </c>
      <c r="N30" s="4">
        <f t="shared" si="8"/>
        <v>126.58815775994455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352.2</v>
      </c>
      <c r="C31" s="25">
        <v>104</v>
      </c>
      <c r="D31" s="4">
        <f t="shared" si="0"/>
        <v>82.199999999999989</v>
      </c>
      <c r="E31" s="4">
        <f t="shared" si="1"/>
        <v>82</v>
      </c>
      <c r="F31" s="4">
        <f>IF(B31,((D31-E31)/60*100)," ")</f>
        <v>0.33333333333331439</v>
      </c>
      <c r="G31" s="4">
        <f t="shared" si="3"/>
        <v>13.874601740533354</v>
      </c>
      <c r="H31" s="4">
        <f t="shared" si="4"/>
        <v>103.07034212876947</v>
      </c>
      <c r="I31" s="4"/>
      <c r="J31" s="4"/>
      <c r="K31" s="4">
        <f t="shared" si="5"/>
        <v>20.264720525607281</v>
      </c>
      <c r="L31" s="4">
        <f t="shared" si="6"/>
        <v>1.8938227955972309</v>
      </c>
      <c r="M31" s="4">
        <f t="shared" si="7"/>
        <v>410.65889798096902</v>
      </c>
      <c r="N31" s="4">
        <f t="shared" si="8"/>
        <v>3.5865647811237111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349.3</v>
      </c>
      <c r="C32" s="25">
        <v>90</v>
      </c>
      <c r="D32" s="4">
        <f t="shared" si="0"/>
        <v>79.300000000000011</v>
      </c>
      <c r="E32" s="4">
        <f t="shared" si="1"/>
        <v>79</v>
      </c>
      <c r="F32" s="4">
        <f t="shared" si="2"/>
        <v>0.50000000000001887</v>
      </c>
      <c r="G32" s="4">
        <f t="shared" si="3"/>
        <v>16.401197294293251</v>
      </c>
      <c r="H32" s="4">
        <f t="shared" si="4"/>
        <v>88.492941680755919</v>
      </c>
      <c r="I32" s="4"/>
      <c r="J32" s="4"/>
      <c r="K32" s="4">
        <f t="shared" si="5"/>
        <v>22.791316079367178</v>
      </c>
      <c r="L32" s="4">
        <f t="shared" si="6"/>
        <v>-12.683577652416318</v>
      </c>
      <c r="M32" s="4">
        <f t="shared" si="7"/>
        <v>519.44408862962086</v>
      </c>
      <c r="N32" s="4">
        <f t="shared" si="8"/>
        <v>160.87314206487463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/>
      <c r="C33" s="25"/>
      <c r="D33" s="4" t="str">
        <f t="shared" si="0"/>
        <v xml:space="preserve"> </v>
      </c>
      <c r="E33" s="4" t="str">
        <f t="shared" si="1"/>
        <v xml:space="preserve"> </v>
      </c>
      <c r="F33" s="4" t="str">
        <f t="shared" si="2"/>
        <v xml:space="preserve"> </v>
      </c>
      <c r="G33" s="4" t="str">
        <f t="shared" ref="G33:G35" si="9">IF(B33,C33*COS(PI()/180*(E33+F33))," ")</f>
        <v xml:space="preserve"> </v>
      </c>
      <c r="H33" s="4" t="str">
        <f t="shared" ref="H33:H35" si="10">IF(B33,(C33*SIN(PI()/180*(E33+F33)))," ")</f>
        <v xml:space="preserve"> </v>
      </c>
      <c r="I33" s="4"/>
      <c r="J33" s="4"/>
      <c r="K33" s="4" t="str">
        <f t="shared" si="5"/>
        <v xml:space="preserve"> </v>
      </c>
      <c r="L33" s="4" t="str">
        <f t="shared" si="6"/>
        <v xml:space="preserve"> </v>
      </c>
      <c r="M33" s="4" t="str">
        <f t="shared" si="7"/>
        <v xml:space="preserve"> </v>
      </c>
      <c r="N33" s="4" t="str">
        <f t="shared" si="8"/>
        <v xml:space="preserve"> 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/>
      <c r="C34" s="25"/>
      <c r="D34" s="4" t="str">
        <f t="shared" si="0"/>
        <v xml:space="preserve"> </v>
      </c>
      <c r="E34" s="4" t="str">
        <f t="shared" si="1"/>
        <v xml:space="preserve"> </v>
      </c>
      <c r="F34" s="4" t="str">
        <f t="shared" si="2"/>
        <v xml:space="preserve"> </v>
      </c>
      <c r="G34" s="4" t="str">
        <f t="shared" si="9"/>
        <v xml:space="preserve"> </v>
      </c>
      <c r="H34" s="4" t="str">
        <f t="shared" si="10"/>
        <v xml:space="preserve"> </v>
      </c>
      <c r="I34" s="4"/>
      <c r="J34" s="4"/>
      <c r="K34" s="4" t="str">
        <f>IF(B34,SUM(G34,-$I$12)," ")</f>
        <v xml:space="preserve"> </v>
      </c>
      <c r="L34" s="4" t="str">
        <f t="shared" si="6"/>
        <v xml:space="preserve"> </v>
      </c>
      <c r="M34" s="4" t="str">
        <f t="shared" si="7"/>
        <v xml:space="preserve"> </v>
      </c>
      <c r="N34" s="4" t="str">
        <f t="shared" si="8"/>
        <v xml:space="preserve"> 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9"/>
        <v xml:space="preserve"> </v>
      </c>
      <c r="H35" s="7" t="str">
        <f t="shared" si="10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/>
      <c r="C38" s="25"/>
      <c r="D38" s="4" t="str">
        <f t="shared" ref="D38:D61" si="11">IF(B38,B38-$C$4," ")</f>
        <v xml:space="preserve"> </v>
      </c>
      <c r="E38" s="4" t="str">
        <f t="shared" ref="E38:E61" si="12">IF(B38,INT(D38)," ")</f>
        <v xml:space="preserve"> </v>
      </c>
      <c r="F38" s="4" t="str">
        <f t="shared" ref="F38:F61" si="13">IF(B38,((D38-E38)/60*100)," ")</f>
        <v xml:space="preserve"> </v>
      </c>
      <c r="G38" s="4" t="str">
        <f t="shared" ref="G38:G61" si="14">IF(B38,C38*COS(PI()/180*(E38+F38))," ")</f>
        <v xml:space="preserve"> </v>
      </c>
      <c r="H38" s="4" t="str">
        <f t="shared" ref="H38:H61" si="15">IF(B38,(C38*SIN(PI()/180*(E38+F38)))," ")</f>
        <v xml:space="preserve"> </v>
      </c>
      <c r="I38" s="4" t="e">
        <f>SUM(G38:G61)/E6</f>
        <v>#DIV/0!</v>
      </c>
      <c r="J38" s="4" t="e">
        <f>SUM(H38:H61)/E6</f>
        <v>#DIV/0!</v>
      </c>
      <c r="K38" s="4" t="str">
        <f t="shared" ref="K38:K61" si="16">IF(B38,SUM(G38,-$I$12)," ")</f>
        <v xml:space="preserve"> </v>
      </c>
      <c r="L38" s="4" t="str">
        <f t="shared" ref="L38:L61" si="17">IF(B38,SUM(H38,-$J$12)," ")</f>
        <v xml:space="preserve"> </v>
      </c>
      <c r="M38" s="4" t="str">
        <f t="shared" ref="M38:M61" si="18">IF(B38,POWER(K38,2)," ")</f>
        <v xml:space="preserve"> </v>
      </c>
      <c r="N38" s="4" t="str">
        <f t="shared" ref="N38:N61" si="19">IF(B38,POWER(L38,2)," ")</f>
        <v xml:space="preserve"> </v>
      </c>
      <c r="O38" s="4">
        <f>E6-1</f>
        <v>-1</v>
      </c>
      <c r="P38" s="4">
        <f>SUM(M38:M61)</f>
        <v>0</v>
      </c>
      <c r="Q38" s="4">
        <f>SUM(N38:N61)</f>
        <v>0</v>
      </c>
      <c r="R38" s="4">
        <f>PRODUCT(P38,1/$O$38)</f>
        <v>0</v>
      </c>
      <c r="S38" s="4">
        <f>PRODUCT(Q38,1/$O$38)</f>
        <v>0</v>
      </c>
      <c r="T38" s="4">
        <f>SQRT(R38)</f>
        <v>0</v>
      </c>
      <c r="U38" s="4">
        <f>SQRT(S38)</f>
        <v>0</v>
      </c>
      <c r="V38" s="4">
        <f>PRODUCT(T38:U38)</f>
        <v>0</v>
      </c>
      <c r="W38" s="10">
        <f>SQRT(V38)</f>
        <v>0</v>
      </c>
    </row>
    <row r="39" spans="1:23">
      <c r="A39" s="3">
        <v>2</v>
      </c>
      <c r="B39" s="25"/>
      <c r="C39" s="25"/>
      <c r="D39" s="4" t="str">
        <f t="shared" si="11"/>
        <v xml:space="preserve"> </v>
      </c>
      <c r="E39" s="4" t="str">
        <f t="shared" si="12"/>
        <v xml:space="preserve"> </v>
      </c>
      <c r="F39" s="4" t="str">
        <f t="shared" si="13"/>
        <v xml:space="preserve"> </v>
      </c>
      <c r="G39" s="4" t="str">
        <f t="shared" si="14"/>
        <v xml:space="preserve"> </v>
      </c>
      <c r="H39" s="4" t="str">
        <f t="shared" si="15"/>
        <v xml:space="preserve"> </v>
      </c>
      <c r="I39" s="4"/>
      <c r="J39" s="4"/>
      <c r="K39" s="4" t="str">
        <f t="shared" si="16"/>
        <v xml:space="preserve"> </v>
      </c>
      <c r="L39" s="4" t="str">
        <f t="shared" si="17"/>
        <v xml:space="preserve"> </v>
      </c>
      <c r="M39" s="4" t="str">
        <f t="shared" si="18"/>
        <v xml:space="preserve"> </v>
      </c>
      <c r="N39" s="4" t="str">
        <f t="shared" si="19"/>
        <v xml:space="preserve"> 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/>
      <c r="C40" s="25"/>
      <c r="D40" s="4" t="str">
        <f t="shared" si="11"/>
        <v xml:space="preserve"> </v>
      </c>
      <c r="E40" s="4" t="str">
        <f t="shared" si="12"/>
        <v xml:space="preserve"> </v>
      </c>
      <c r="F40" s="4" t="str">
        <f t="shared" si="13"/>
        <v xml:space="preserve"> </v>
      </c>
      <c r="G40" s="4" t="str">
        <f t="shared" si="14"/>
        <v xml:space="preserve"> </v>
      </c>
      <c r="H40" s="4" t="str">
        <f t="shared" si="15"/>
        <v xml:space="preserve"> </v>
      </c>
      <c r="I40" s="4"/>
      <c r="J40" s="4"/>
      <c r="K40" s="4" t="str">
        <f t="shared" si="16"/>
        <v xml:space="preserve"> </v>
      </c>
      <c r="L40" s="4" t="str">
        <f t="shared" si="17"/>
        <v xml:space="preserve"> </v>
      </c>
      <c r="M40" s="4" t="str">
        <f t="shared" si="18"/>
        <v xml:space="preserve"> </v>
      </c>
      <c r="N40" s="4" t="str">
        <f t="shared" si="19"/>
        <v xml:space="preserve"> 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/>
      <c r="C41" s="25"/>
      <c r="D41" s="4" t="str">
        <f t="shared" si="11"/>
        <v xml:space="preserve"> </v>
      </c>
      <c r="E41" s="4" t="str">
        <f t="shared" si="12"/>
        <v xml:space="preserve"> </v>
      </c>
      <c r="F41" s="4" t="str">
        <f t="shared" si="13"/>
        <v xml:space="preserve"> </v>
      </c>
      <c r="G41" s="4" t="str">
        <f t="shared" si="14"/>
        <v xml:space="preserve"> </v>
      </c>
      <c r="H41" s="4" t="str">
        <f t="shared" si="15"/>
        <v xml:space="preserve"> </v>
      </c>
      <c r="I41" s="4"/>
      <c r="J41" s="4"/>
      <c r="K41" s="4" t="str">
        <f t="shared" si="16"/>
        <v xml:space="preserve"> </v>
      </c>
      <c r="L41" s="4" t="str">
        <f t="shared" si="17"/>
        <v xml:space="preserve"> </v>
      </c>
      <c r="M41" s="4" t="str">
        <f t="shared" si="18"/>
        <v xml:space="preserve"> </v>
      </c>
      <c r="N41" s="4" t="str">
        <f t="shared" si="19"/>
        <v xml:space="preserve"> 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/>
      <c r="C42" s="25"/>
      <c r="D42" s="4" t="str">
        <f t="shared" si="11"/>
        <v xml:space="preserve"> </v>
      </c>
      <c r="E42" s="4" t="str">
        <f t="shared" si="12"/>
        <v xml:space="preserve"> </v>
      </c>
      <c r="F42" s="4" t="str">
        <f t="shared" si="13"/>
        <v xml:space="preserve"> </v>
      </c>
      <c r="G42" s="4" t="str">
        <f t="shared" si="14"/>
        <v xml:space="preserve"> </v>
      </c>
      <c r="H42" s="4" t="str">
        <f t="shared" si="15"/>
        <v xml:space="preserve"> </v>
      </c>
      <c r="I42" s="4"/>
      <c r="J42" s="4"/>
      <c r="K42" s="4" t="str">
        <f t="shared" si="16"/>
        <v xml:space="preserve"> </v>
      </c>
      <c r="L42" s="4" t="str">
        <f t="shared" si="17"/>
        <v xml:space="preserve"> </v>
      </c>
      <c r="M42" s="4" t="str">
        <f t="shared" si="18"/>
        <v xml:space="preserve"> </v>
      </c>
      <c r="N42" s="4" t="str">
        <f t="shared" si="19"/>
        <v xml:space="preserve"> 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/>
      <c r="C43" s="25"/>
      <c r="D43" s="4" t="str">
        <f t="shared" si="11"/>
        <v xml:space="preserve"> </v>
      </c>
      <c r="E43" s="4" t="str">
        <f t="shared" si="12"/>
        <v xml:space="preserve"> </v>
      </c>
      <c r="F43" s="4" t="str">
        <f t="shared" si="13"/>
        <v xml:space="preserve"> </v>
      </c>
      <c r="G43" s="4" t="str">
        <f t="shared" si="14"/>
        <v xml:space="preserve"> </v>
      </c>
      <c r="H43" s="4" t="str">
        <f t="shared" si="15"/>
        <v xml:space="preserve"> </v>
      </c>
      <c r="I43" s="4"/>
      <c r="J43" s="4"/>
      <c r="K43" s="4" t="str">
        <f t="shared" si="16"/>
        <v xml:space="preserve"> </v>
      </c>
      <c r="L43" s="4" t="str">
        <f t="shared" si="17"/>
        <v xml:space="preserve"> </v>
      </c>
      <c r="M43" s="4" t="str">
        <f t="shared" si="18"/>
        <v xml:space="preserve"> </v>
      </c>
      <c r="N43" s="4" t="str">
        <f t="shared" si="19"/>
        <v xml:space="preserve"> 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/>
      <c r="C44" s="25"/>
      <c r="D44" s="4" t="str">
        <f t="shared" si="11"/>
        <v xml:space="preserve"> </v>
      </c>
      <c r="E44" s="4" t="str">
        <f t="shared" si="12"/>
        <v xml:space="preserve"> </v>
      </c>
      <c r="F44" s="4" t="str">
        <f t="shared" si="13"/>
        <v xml:space="preserve"> </v>
      </c>
      <c r="G44" s="4" t="str">
        <f t="shared" si="14"/>
        <v xml:space="preserve"> </v>
      </c>
      <c r="H44" s="4" t="str">
        <f t="shared" si="15"/>
        <v xml:space="preserve"> </v>
      </c>
      <c r="I44" s="4"/>
      <c r="J44" s="4"/>
      <c r="K44" s="4" t="str">
        <f t="shared" si="16"/>
        <v xml:space="preserve"> </v>
      </c>
      <c r="L44" s="4" t="str">
        <f t="shared" si="17"/>
        <v xml:space="preserve"> </v>
      </c>
      <c r="M44" s="4" t="str">
        <f t="shared" si="18"/>
        <v xml:space="preserve"> </v>
      </c>
      <c r="N44" s="4" t="str">
        <f t="shared" si="19"/>
        <v xml:space="preserve"> 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/>
      <c r="C45" s="25"/>
      <c r="D45" s="4" t="str">
        <f t="shared" si="11"/>
        <v xml:space="preserve"> </v>
      </c>
      <c r="E45" s="4" t="str">
        <f t="shared" si="12"/>
        <v xml:space="preserve"> </v>
      </c>
      <c r="F45" s="4" t="str">
        <f t="shared" si="13"/>
        <v xml:space="preserve"> </v>
      </c>
      <c r="G45" s="4" t="str">
        <f t="shared" si="14"/>
        <v xml:space="preserve"> </v>
      </c>
      <c r="H45" s="4" t="str">
        <f t="shared" si="15"/>
        <v xml:space="preserve"> </v>
      </c>
      <c r="I45" s="4"/>
      <c r="J45" s="4"/>
      <c r="K45" s="4" t="str">
        <f t="shared" si="16"/>
        <v xml:space="preserve"> </v>
      </c>
      <c r="L45" s="4" t="str">
        <f t="shared" si="17"/>
        <v xml:space="preserve"> </v>
      </c>
      <c r="M45" s="4" t="str">
        <f t="shared" si="18"/>
        <v xml:space="preserve"> </v>
      </c>
      <c r="N45" s="4" t="str">
        <f t="shared" si="19"/>
        <v xml:space="preserve"> 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/>
      <c r="C46" s="25"/>
      <c r="D46" s="4" t="str">
        <f t="shared" si="11"/>
        <v xml:space="preserve"> </v>
      </c>
      <c r="E46" s="4" t="str">
        <f t="shared" si="12"/>
        <v xml:space="preserve"> </v>
      </c>
      <c r="F46" s="4" t="str">
        <f t="shared" si="13"/>
        <v xml:space="preserve"> </v>
      </c>
      <c r="G46" s="4" t="str">
        <f t="shared" si="14"/>
        <v xml:space="preserve"> </v>
      </c>
      <c r="H46" s="4" t="str">
        <f t="shared" si="15"/>
        <v xml:space="preserve"> </v>
      </c>
      <c r="I46" s="4"/>
      <c r="J46" s="4"/>
      <c r="K46" s="4" t="str">
        <f t="shared" si="16"/>
        <v xml:space="preserve"> </v>
      </c>
      <c r="L46" s="4" t="str">
        <f t="shared" si="17"/>
        <v xml:space="preserve"> </v>
      </c>
      <c r="M46" s="4" t="str">
        <f t="shared" si="18"/>
        <v xml:space="preserve"> </v>
      </c>
      <c r="N46" s="4" t="str">
        <f t="shared" si="19"/>
        <v xml:space="preserve"> 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/>
      <c r="C47" s="25"/>
      <c r="D47" s="4" t="str">
        <f t="shared" si="11"/>
        <v xml:space="preserve"> </v>
      </c>
      <c r="E47" s="4" t="str">
        <f t="shared" si="12"/>
        <v xml:space="preserve"> </v>
      </c>
      <c r="F47" s="4" t="str">
        <f t="shared" si="13"/>
        <v xml:space="preserve"> </v>
      </c>
      <c r="G47" s="4" t="str">
        <f t="shared" si="14"/>
        <v xml:space="preserve"> </v>
      </c>
      <c r="H47" s="4" t="str">
        <f t="shared" si="15"/>
        <v xml:space="preserve"> </v>
      </c>
      <c r="I47" s="4"/>
      <c r="J47" s="4"/>
      <c r="K47" s="4" t="str">
        <f t="shared" si="16"/>
        <v xml:space="preserve"> </v>
      </c>
      <c r="L47" s="4" t="str">
        <f t="shared" si="17"/>
        <v xml:space="preserve"> </v>
      </c>
      <c r="M47" s="4" t="str">
        <f t="shared" si="18"/>
        <v xml:space="preserve"> </v>
      </c>
      <c r="N47" s="4" t="str">
        <f t="shared" si="19"/>
        <v xml:space="preserve"> 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/>
      <c r="C48" s="25"/>
      <c r="D48" s="4" t="str">
        <f t="shared" si="11"/>
        <v xml:space="preserve"> </v>
      </c>
      <c r="E48" s="4" t="str">
        <f t="shared" si="12"/>
        <v xml:space="preserve"> </v>
      </c>
      <c r="F48" s="4" t="str">
        <f t="shared" si="13"/>
        <v xml:space="preserve"> </v>
      </c>
      <c r="G48" s="4" t="str">
        <f t="shared" si="14"/>
        <v xml:space="preserve"> </v>
      </c>
      <c r="H48" s="4" t="str">
        <f t="shared" si="15"/>
        <v xml:space="preserve"> </v>
      </c>
      <c r="I48" s="4"/>
      <c r="J48" s="4"/>
      <c r="K48" s="4" t="str">
        <f t="shared" si="16"/>
        <v xml:space="preserve"> </v>
      </c>
      <c r="L48" s="4" t="str">
        <f t="shared" si="17"/>
        <v xml:space="preserve"> </v>
      </c>
      <c r="M48" s="4" t="str">
        <f t="shared" si="18"/>
        <v xml:space="preserve"> </v>
      </c>
      <c r="N48" s="4" t="str">
        <f t="shared" si="19"/>
        <v xml:space="preserve"> 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/>
      <c r="C49" s="25"/>
      <c r="D49" s="4" t="str">
        <f t="shared" si="11"/>
        <v xml:space="preserve"> </v>
      </c>
      <c r="E49" s="4" t="str">
        <f t="shared" si="12"/>
        <v xml:space="preserve"> </v>
      </c>
      <c r="F49" s="4" t="str">
        <f t="shared" si="13"/>
        <v xml:space="preserve"> </v>
      </c>
      <c r="G49" s="4" t="str">
        <f t="shared" si="14"/>
        <v xml:space="preserve"> </v>
      </c>
      <c r="H49" s="4" t="str">
        <f t="shared" si="15"/>
        <v xml:space="preserve"> </v>
      </c>
      <c r="I49" s="4"/>
      <c r="J49" s="4"/>
      <c r="K49" s="4" t="str">
        <f t="shared" si="16"/>
        <v xml:space="preserve"> </v>
      </c>
      <c r="L49" s="4" t="str">
        <f t="shared" si="17"/>
        <v xml:space="preserve"> </v>
      </c>
      <c r="M49" s="4" t="str">
        <f t="shared" si="18"/>
        <v xml:space="preserve"> </v>
      </c>
      <c r="N49" s="4" t="str">
        <f t="shared" si="19"/>
        <v xml:space="preserve"> 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/>
      <c r="C50" s="25"/>
      <c r="D50" s="4" t="str">
        <f t="shared" si="11"/>
        <v xml:space="preserve"> </v>
      </c>
      <c r="E50" s="4" t="str">
        <f t="shared" si="12"/>
        <v xml:space="preserve"> </v>
      </c>
      <c r="F50" s="4" t="str">
        <f t="shared" si="13"/>
        <v xml:space="preserve"> </v>
      </c>
      <c r="G50" s="4" t="str">
        <f t="shared" si="14"/>
        <v xml:space="preserve"> </v>
      </c>
      <c r="H50" s="4" t="str">
        <f t="shared" si="15"/>
        <v xml:space="preserve"> </v>
      </c>
      <c r="I50" s="4"/>
      <c r="J50" s="4"/>
      <c r="K50" s="4" t="str">
        <f t="shared" si="16"/>
        <v xml:space="preserve"> </v>
      </c>
      <c r="L50" s="4" t="str">
        <f t="shared" si="17"/>
        <v xml:space="preserve"> </v>
      </c>
      <c r="M50" s="4" t="str">
        <f t="shared" si="18"/>
        <v xml:space="preserve"> </v>
      </c>
      <c r="N50" s="4" t="str">
        <f t="shared" si="19"/>
        <v xml:space="preserve"> 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/>
      <c r="C51" s="25"/>
      <c r="D51" s="4" t="str">
        <f t="shared" si="11"/>
        <v xml:space="preserve"> </v>
      </c>
      <c r="E51" s="4" t="str">
        <f t="shared" si="12"/>
        <v xml:space="preserve"> </v>
      </c>
      <c r="F51" s="4" t="str">
        <f t="shared" si="13"/>
        <v xml:space="preserve"> </v>
      </c>
      <c r="G51" s="4" t="str">
        <f t="shared" si="14"/>
        <v xml:space="preserve"> </v>
      </c>
      <c r="H51" s="4" t="str">
        <f t="shared" si="15"/>
        <v xml:space="preserve"> </v>
      </c>
      <c r="I51" s="4"/>
      <c r="J51" s="4"/>
      <c r="K51" s="4" t="str">
        <f t="shared" si="16"/>
        <v xml:space="preserve"> </v>
      </c>
      <c r="L51" s="4" t="str">
        <f t="shared" si="17"/>
        <v xml:space="preserve"> </v>
      </c>
      <c r="M51" s="4" t="str">
        <f t="shared" si="18"/>
        <v xml:space="preserve"> </v>
      </c>
      <c r="N51" s="4" t="str">
        <f t="shared" si="19"/>
        <v xml:space="preserve"> 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/>
      <c r="C52" s="25"/>
      <c r="D52" s="4" t="str">
        <f t="shared" si="11"/>
        <v xml:space="preserve"> </v>
      </c>
      <c r="E52" s="4" t="str">
        <f t="shared" si="12"/>
        <v xml:space="preserve"> </v>
      </c>
      <c r="F52" s="4" t="str">
        <f t="shared" si="13"/>
        <v xml:space="preserve"> </v>
      </c>
      <c r="G52" s="4" t="str">
        <f t="shared" si="14"/>
        <v xml:space="preserve"> </v>
      </c>
      <c r="H52" s="4" t="str">
        <f t="shared" si="15"/>
        <v xml:space="preserve"> </v>
      </c>
      <c r="I52" s="4"/>
      <c r="J52" s="4"/>
      <c r="K52" s="4" t="str">
        <f t="shared" si="16"/>
        <v xml:space="preserve"> </v>
      </c>
      <c r="L52" s="4" t="str">
        <f t="shared" si="17"/>
        <v xml:space="preserve"> </v>
      </c>
      <c r="M52" s="4" t="str">
        <f t="shared" si="18"/>
        <v xml:space="preserve"> </v>
      </c>
      <c r="N52" s="4" t="str">
        <f t="shared" si="19"/>
        <v xml:space="preserve"> 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/>
      <c r="C53" s="25"/>
      <c r="D53" s="4" t="str">
        <f t="shared" si="11"/>
        <v xml:space="preserve"> </v>
      </c>
      <c r="E53" s="4" t="str">
        <f t="shared" si="12"/>
        <v xml:space="preserve"> </v>
      </c>
      <c r="F53" s="4" t="str">
        <f t="shared" si="13"/>
        <v xml:space="preserve"> </v>
      </c>
      <c r="G53" s="4" t="str">
        <f t="shared" si="14"/>
        <v xml:space="preserve"> </v>
      </c>
      <c r="H53" s="4" t="str">
        <f t="shared" si="15"/>
        <v xml:space="preserve"> </v>
      </c>
      <c r="I53" s="4"/>
      <c r="J53" s="4"/>
      <c r="K53" s="4" t="str">
        <f t="shared" si="16"/>
        <v xml:space="preserve"> </v>
      </c>
      <c r="L53" s="4" t="str">
        <f t="shared" si="17"/>
        <v xml:space="preserve"> </v>
      </c>
      <c r="M53" s="4" t="str">
        <f t="shared" si="18"/>
        <v xml:space="preserve"> </v>
      </c>
      <c r="N53" s="4" t="str">
        <f t="shared" si="19"/>
        <v xml:space="preserve"> 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/>
      <c r="C54" s="25"/>
      <c r="D54" s="4" t="str">
        <f t="shared" si="11"/>
        <v xml:space="preserve"> </v>
      </c>
      <c r="E54" s="4" t="str">
        <f t="shared" si="12"/>
        <v xml:space="preserve"> </v>
      </c>
      <c r="F54" s="4" t="str">
        <f t="shared" si="13"/>
        <v xml:space="preserve"> </v>
      </c>
      <c r="G54" s="4" t="str">
        <f t="shared" si="14"/>
        <v xml:space="preserve"> </v>
      </c>
      <c r="H54" s="4" t="str">
        <f t="shared" si="15"/>
        <v xml:space="preserve"> </v>
      </c>
      <c r="I54" s="4"/>
      <c r="J54" s="4"/>
      <c r="K54" s="4" t="str">
        <f t="shared" si="16"/>
        <v xml:space="preserve"> </v>
      </c>
      <c r="L54" s="4" t="str">
        <f t="shared" si="17"/>
        <v xml:space="preserve"> </v>
      </c>
      <c r="M54" s="4" t="str">
        <f t="shared" si="18"/>
        <v xml:space="preserve"> </v>
      </c>
      <c r="N54" s="4" t="str">
        <f t="shared" si="19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/>
      <c r="C55" s="25"/>
      <c r="D55" s="4" t="str">
        <f t="shared" si="11"/>
        <v xml:space="preserve"> </v>
      </c>
      <c r="E55" s="4" t="str">
        <f t="shared" si="12"/>
        <v xml:space="preserve"> </v>
      </c>
      <c r="F55" s="4" t="str">
        <f t="shared" si="13"/>
        <v xml:space="preserve"> </v>
      </c>
      <c r="G55" s="4" t="str">
        <f t="shared" si="14"/>
        <v xml:space="preserve"> </v>
      </c>
      <c r="H55" s="4" t="str">
        <f t="shared" si="15"/>
        <v xml:space="preserve"> </v>
      </c>
      <c r="I55" s="4"/>
      <c r="J55" s="4"/>
      <c r="K55" s="4" t="str">
        <f t="shared" si="16"/>
        <v xml:space="preserve"> </v>
      </c>
      <c r="L55" s="4" t="str">
        <f t="shared" si="17"/>
        <v xml:space="preserve"> </v>
      </c>
      <c r="M55" s="4" t="str">
        <f t="shared" si="18"/>
        <v xml:space="preserve"> </v>
      </c>
      <c r="N55" s="4" t="str">
        <f t="shared" si="19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/>
      <c r="C56" s="25"/>
      <c r="D56" s="4" t="str">
        <f t="shared" si="11"/>
        <v xml:space="preserve"> </v>
      </c>
      <c r="E56" s="4" t="str">
        <f t="shared" si="12"/>
        <v xml:space="preserve"> </v>
      </c>
      <c r="F56" s="4" t="str">
        <f t="shared" si="13"/>
        <v xml:space="preserve"> </v>
      </c>
      <c r="G56" s="4" t="str">
        <f t="shared" si="14"/>
        <v xml:space="preserve"> </v>
      </c>
      <c r="H56" s="4" t="str">
        <f t="shared" si="15"/>
        <v xml:space="preserve"> </v>
      </c>
      <c r="I56" s="4"/>
      <c r="J56" s="4"/>
      <c r="K56" s="4" t="str">
        <f t="shared" si="16"/>
        <v xml:space="preserve"> </v>
      </c>
      <c r="L56" s="4" t="str">
        <f t="shared" si="17"/>
        <v xml:space="preserve"> </v>
      </c>
      <c r="M56" s="4" t="str">
        <f t="shared" si="18"/>
        <v xml:space="preserve"> </v>
      </c>
      <c r="N56" s="4" t="str">
        <f t="shared" si="19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/>
      <c r="C57" s="25"/>
      <c r="D57" s="4" t="str">
        <f t="shared" si="11"/>
        <v xml:space="preserve"> </v>
      </c>
      <c r="E57" s="4" t="str">
        <f t="shared" si="12"/>
        <v xml:space="preserve"> </v>
      </c>
      <c r="F57" s="4" t="str">
        <f t="shared" si="13"/>
        <v xml:space="preserve"> </v>
      </c>
      <c r="G57" s="4" t="str">
        <f t="shared" si="14"/>
        <v xml:space="preserve"> </v>
      </c>
      <c r="H57" s="4" t="str">
        <f t="shared" si="15"/>
        <v xml:space="preserve"> </v>
      </c>
      <c r="I57" s="4"/>
      <c r="J57" s="4"/>
      <c r="K57" s="4" t="str">
        <f t="shared" si="16"/>
        <v xml:space="preserve"> </v>
      </c>
      <c r="L57" s="4" t="str">
        <f t="shared" si="17"/>
        <v xml:space="preserve"> </v>
      </c>
      <c r="M57" s="4" t="str">
        <f t="shared" si="18"/>
        <v xml:space="preserve"> </v>
      </c>
      <c r="N57" s="4" t="str">
        <f t="shared" si="19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/>
      <c r="C58" s="25"/>
      <c r="D58" s="4" t="str">
        <f t="shared" si="11"/>
        <v xml:space="preserve"> </v>
      </c>
      <c r="E58" s="4" t="str">
        <f t="shared" si="12"/>
        <v xml:space="preserve"> </v>
      </c>
      <c r="F58" s="4" t="str">
        <f t="shared" si="13"/>
        <v xml:space="preserve"> </v>
      </c>
      <c r="G58" s="4" t="str">
        <f t="shared" si="14"/>
        <v xml:space="preserve"> </v>
      </c>
      <c r="H58" s="4" t="str">
        <f t="shared" si="15"/>
        <v xml:space="preserve"> </v>
      </c>
      <c r="I58" s="4"/>
      <c r="J58" s="4"/>
      <c r="K58" s="4" t="str">
        <f t="shared" si="16"/>
        <v xml:space="preserve"> </v>
      </c>
      <c r="L58" s="4" t="str">
        <f t="shared" si="17"/>
        <v xml:space="preserve"> </v>
      </c>
      <c r="M58" s="4" t="str">
        <f t="shared" si="18"/>
        <v xml:space="preserve"> </v>
      </c>
      <c r="N58" s="4" t="str">
        <f t="shared" si="19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/>
      <c r="C59" s="25"/>
      <c r="D59" s="4" t="str">
        <f t="shared" si="11"/>
        <v xml:space="preserve"> </v>
      </c>
      <c r="E59" s="4" t="str">
        <f t="shared" si="12"/>
        <v xml:space="preserve"> </v>
      </c>
      <c r="F59" s="4" t="str">
        <f t="shared" si="13"/>
        <v xml:space="preserve"> </v>
      </c>
      <c r="G59" s="4" t="str">
        <f t="shared" si="14"/>
        <v xml:space="preserve"> </v>
      </c>
      <c r="H59" s="4" t="str">
        <f t="shared" si="15"/>
        <v xml:space="preserve"> </v>
      </c>
      <c r="I59" s="4"/>
      <c r="J59" s="4"/>
      <c r="K59" s="4" t="str">
        <f t="shared" si="16"/>
        <v xml:space="preserve"> </v>
      </c>
      <c r="L59" s="4" t="str">
        <f t="shared" si="17"/>
        <v xml:space="preserve"> </v>
      </c>
      <c r="M59" s="4" t="str">
        <f t="shared" si="18"/>
        <v xml:space="preserve"> </v>
      </c>
      <c r="N59" s="4" t="str">
        <f t="shared" si="19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11"/>
        <v xml:space="preserve"> </v>
      </c>
      <c r="E60" s="4" t="str">
        <f t="shared" si="12"/>
        <v xml:space="preserve"> </v>
      </c>
      <c r="F60" s="4" t="str">
        <f t="shared" si="13"/>
        <v xml:space="preserve"> </v>
      </c>
      <c r="G60" s="4" t="str">
        <f t="shared" si="14"/>
        <v xml:space="preserve"> </v>
      </c>
      <c r="H60" s="4" t="str">
        <f t="shared" si="15"/>
        <v xml:space="preserve"> </v>
      </c>
      <c r="I60" s="4"/>
      <c r="J60" s="4"/>
      <c r="K60" s="4" t="str">
        <f t="shared" si="16"/>
        <v xml:space="preserve"> </v>
      </c>
      <c r="L60" s="4" t="str">
        <f t="shared" si="17"/>
        <v xml:space="preserve"> </v>
      </c>
      <c r="M60" s="4" t="str">
        <f t="shared" si="18"/>
        <v xml:space="preserve"> </v>
      </c>
      <c r="N60" s="4" t="str">
        <f t="shared" si="19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11"/>
        <v xml:space="preserve"> </v>
      </c>
      <c r="E61" s="7" t="str">
        <f t="shared" si="12"/>
        <v xml:space="preserve"> </v>
      </c>
      <c r="F61" s="7" t="str">
        <f t="shared" si="13"/>
        <v xml:space="preserve"> </v>
      </c>
      <c r="G61" s="7" t="str">
        <f t="shared" si="14"/>
        <v xml:space="preserve"> </v>
      </c>
      <c r="H61" s="7" t="str">
        <f t="shared" si="15"/>
        <v xml:space="preserve"> </v>
      </c>
      <c r="I61" s="7"/>
      <c r="J61" s="7"/>
      <c r="K61" s="7" t="str">
        <f t="shared" si="16"/>
        <v xml:space="preserve"> </v>
      </c>
      <c r="L61" s="7" t="str">
        <f t="shared" si="17"/>
        <v xml:space="preserve"> </v>
      </c>
      <c r="M61" s="7" t="str">
        <f t="shared" si="18"/>
        <v xml:space="preserve"> </v>
      </c>
      <c r="N61" s="7" t="str">
        <f t="shared" si="19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2"/>
  </sheetPr>
  <dimension ref="A1:W62"/>
  <sheetViews>
    <sheetView zoomScale="55" zoomScaleNormal="55" workbookViewId="0">
      <selection activeCell="AD25" sqref="AD25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8"/>
      <c r="H2" s="28"/>
      <c r="I2" s="107" t="s">
        <v>23</v>
      </c>
      <c r="J2" s="10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IF(E6,((I12+I38)/2),I12)</f>
        <v>35.283842878369306</v>
      </c>
      <c r="J4" s="117">
        <f>IF(E6,((J12+J38)/2),J12)</f>
        <v>-44.485400411665012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23</v>
      </c>
      <c r="E6" s="22">
        <v>0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186.05</v>
      </c>
      <c r="C12" s="25">
        <v>44</v>
      </c>
      <c r="D12" s="4">
        <f>IF(B12,B12-$C$4," ")</f>
        <v>-83.949999999999989</v>
      </c>
      <c r="E12" s="4">
        <f>IF(B12,INT(D12)," ")</f>
        <v>-84</v>
      </c>
      <c r="F12" s="4">
        <f>IF(B12,((D12-E12)/60*100)," ")</f>
        <v>8.3333333333352286E-2</v>
      </c>
      <c r="G12" s="4">
        <f>IF(B12,C12*COS(PI()/180*(E12+F12))," ")</f>
        <v>4.6628923290891819</v>
      </c>
      <c r="H12" s="4">
        <f>IF(B12,(C12*SIN(PI()/180*(E12+F12)))," ")</f>
        <v>-43.752227773306828</v>
      </c>
      <c r="I12" s="4">
        <f>SUM(G12:G34)/D6</f>
        <v>35.283842878369306</v>
      </c>
      <c r="J12" s="4">
        <f>SUM(H12:H34)/D6</f>
        <v>-44.485400411665012</v>
      </c>
      <c r="K12" s="4">
        <f>IF(B12,SUM(G12,-$I$12)," ")</f>
        <v>-30.620950549280124</v>
      </c>
      <c r="L12" s="4">
        <f>IF(B12,SUM(H12,-$J$12)," ")</f>
        <v>0.7331726383581838</v>
      </c>
      <c r="M12" s="4">
        <f>IF(B12,POWER(K12,2)," ")</f>
        <v>937.64261254145879</v>
      </c>
      <c r="N12" s="4">
        <f>IF(B12,POWER(L12,2)," ")</f>
        <v>0.53754211763710014</v>
      </c>
      <c r="O12" s="4">
        <f>D6-1</f>
        <v>22</v>
      </c>
      <c r="P12" s="4">
        <f>SUM(M12:M34)</f>
        <v>11878.239433702074</v>
      </c>
      <c r="Q12" s="4">
        <f>SUM(N12:N34)</f>
        <v>6440.0509511107102</v>
      </c>
      <c r="R12" s="4">
        <f>PRODUCT(P12,1/$O$12)</f>
        <v>539.91997425918521</v>
      </c>
      <c r="S12" s="4">
        <f>PRODUCT(Q12,1/$O$12)</f>
        <v>292.72958868685049</v>
      </c>
      <c r="T12" s="4">
        <f>SQRT(R12)</f>
        <v>23.236178133660133</v>
      </c>
      <c r="U12" s="4">
        <f>SQRT(S12)</f>
        <v>17.109342146524817</v>
      </c>
      <c r="V12" s="4">
        <f>PRODUCT(T12:U12)</f>
        <v>397.55572186638966</v>
      </c>
      <c r="W12" s="10">
        <f>SQRT(V12)</f>
        <v>19.938799408850816</v>
      </c>
    </row>
    <row r="13" spans="1:23">
      <c r="A13" s="3">
        <v>2</v>
      </c>
      <c r="B13" s="25">
        <v>199.3</v>
      </c>
      <c r="C13" s="25">
        <v>56</v>
      </c>
      <c r="D13" s="4">
        <f t="shared" ref="D13:D35" si="0">IF(B13,B13-$C$4," ")</f>
        <v>-70.699999999999989</v>
      </c>
      <c r="E13" s="4">
        <f t="shared" ref="E13:E35" si="1">IF(B13,INT(D13)," ")</f>
        <v>-71</v>
      </c>
      <c r="F13" s="4">
        <f t="shared" ref="F13:F35" si="2">IF(B13,((D13-E13)/60*100)," ")</f>
        <v>0.50000000000001887</v>
      </c>
      <c r="G13" s="4">
        <f t="shared" ref="G13:G35" si="3">IF(B13,C13*COS(PI()/180*(E13+F13))," ")</f>
        <v>18.693184117091182</v>
      </c>
      <c r="H13" s="4">
        <f t="shared" ref="H13:H35" si="4">IF(B13,(C13*SIN(PI()/180*(E13+F13)))," ")</f>
        <v>-52.787923501161984</v>
      </c>
      <c r="I13" s="4"/>
      <c r="J13" s="4"/>
      <c r="K13" s="4">
        <f t="shared" ref="K13:K35" si="5">IF(B13,SUM(G13,-$I$12)," ")</f>
        <v>-16.590658761278124</v>
      </c>
      <c r="L13" s="4">
        <f t="shared" ref="L13:L35" si="6">IF(B13,SUM(H13,-$J$12)," ")</f>
        <v>-8.3025230894969724</v>
      </c>
      <c r="M13" s="4">
        <f t="shared" ref="M13:M35" si="7">IF(B13,POWER(K13,2)," ")</f>
        <v>275.24995813317457</v>
      </c>
      <c r="N13" s="4">
        <f t="shared" ref="N13:N34" si="8">IF(B13,POWER(L13,2)," ")</f>
        <v>68.931889651630357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205.3</v>
      </c>
      <c r="C14" s="25">
        <v>62</v>
      </c>
      <c r="D14" s="4">
        <f t="shared" si="0"/>
        <v>-64.699999999999989</v>
      </c>
      <c r="E14" s="4">
        <f t="shared" si="1"/>
        <v>-65</v>
      </c>
      <c r="F14" s="4">
        <f t="shared" si="2"/>
        <v>0.50000000000001887</v>
      </c>
      <c r="G14" s="4">
        <f t="shared" si="3"/>
        <v>26.691688002114319</v>
      </c>
      <c r="H14" s="4">
        <f t="shared" si="4"/>
        <v>-55.960287629691344</v>
      </c>
      <c r="I14" s="4"/>
      <c r="J14" s="4"/>
      <c r="K14" s="4">
        <f t="shared" si="5"/>
        <v>-8.5921548762549875</v>
      </c>
      <c r="L14" s="4">
        <f t="shared" si="6"/>
        <v>-11.474887218026332</v>
      </c>
      <c r="M14" s="4">
        <f t="shared" si="7"/>
        <v>73.825125417552357</v>
      </c>
      <c r="N14" s="4">
        <f t="shared" si="8"/>
        <v>131.67303666642408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210.4</v>
      </c>
      <c r="C15" s="25">
        <v>54</v>
      </c>
      <c r="D15" s="4">
        <f t="shared" si="0"/>
        <v>-59.599999999999994</v>
      </c>
      <c r="E15" s="4">
        <f t="shared" si="1"/>
        <v>-60</v>
      </c>
      <c r="F15" s="4">
        <f t="shared" si="2"/>
        <v>0.66666666666667618</v>
      </c>
      <c r="G15" s="4">
        <f t="shared" si="3"/>
        <v>27.54229984734647</v>
      </c>
      <c r="H15" s="4">
        <f t="shared" si="4"/>
        <v>-46.44805398634972</v>
      </c>
      <c r="I15" s="4"/>
      <c r="J15" s="4"/>
      <c r="K15" s="4">
        <f t="shared" si="5"/>
        <v>-7.7415430310228359</v>
      </c>
      <c r="L15" s="4">
        <f t="shared" si="6"/>
        <v>-1.9626535746847082</v>
      </c>
      <c r="M15" s="4">
        <f t="shared" si="7"/>
        <v>59.931488501178237</v>
      </c>
      <c r="N15" s="4">
        <f t="shared" si="8"/>
        <v>3.8520090542226635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216.45</v>
      </c>
      <c r="C16" s="25">
        <v>50</v>
      </c>
      <c r="D16" s="4">
        <f t="shared" si="0"/>
        <v>-53.550000000000011</v>
      </c>
      <c r="E16" s="4">
        <f t="shared" si="1"/>
        <v>-54</v>
      </c>
      <c r="F16" s="4">
        <f t="shared" si="2"/>
        <v>0.74999999999998102</v>
      </c>
      <c r="G16" s="4">
        <f t="shared" si="3"/>
        <v>29.916230028532937</v>
      </c>
      <c r="H16" s="4">
        <f t="shared" si="4"/>
        <v>-40.062690634553043</v>
      </c>
      <c r="I16" s="4"/>
      <c r="J16" s="4"/>
      <c r="K16" s="4">
        <f t="shared" si="5"/>
        <v>-5.3676128498363695</v>
      </c>
      <c r="L16" s="4">
        <f t="shared" si="6"/>
        <v>4.4227097771119688</v>
      </c>
      <c r="M16" s="4">
        <f t="shared" si="7"/>
        <v>28.811267705728511</v>
      </c>
      <c r="N16" s="4">
        <f t="shared" si="8"/>
        <v>19.560361772561802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219.3</v>
      </c>
      <c r="C17" s="25">
        <v>54</v>
      </c>
      <c r="D17" s="4">
        <f t="shared" si="0"/>
        <v>-50.699999999999989</v>
      </c>
      <c r="E17" s="4">
        <f t="shared" si="1"/>
        <v>-51</v>
      </c>
      <c r="F17" s="4">
        <f t="shared" si="2"/>
        <v>0.50000000000001887</v>
      </c>
      <c r="G17" s="4">
        <f t="shared" si="3"/>
        <v>34.348223894999265</v>
      </c>
      <c r="H17" s="4">
        <f t="shared" si="4"/>
        <v>-41.66772750293687</v>
      </c>
      <c r="I17" s="4"/>
      <c r="J17" s="4"/>
      <c r="K17" s="4">
        <f t="shared" si="5"/>
        <v>-0.93561898337004124</v>
      </c>
      <c r="L17" s="4">
        <f t="shared" si="6"/>
        <v>2.8176729087281416</v>
      </c>
      <c r="M17" s="4">
        <f t="shared" si="7"/>
        <v>0.87538288204238945</v>
      </c>
      <c r="N17" s="4">
        <f t="shared" si="8"/>
        <v>7.9392806205805062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221.2</v>
      </c>
      <c r="C18" s="25">
        <v>50</v>
      </c>
      <c r="D18" s="4">
        <f t="shared" si="0"/>
        <v>-48.800000000000011</v>
      </c>
      <c r="E18" s="4">
        <f t="shared" si="1"/>
        <v>-49</v>
      </c>
      <c r="F18" s="4">
        <f t="shared" si="2"/>
        <v>0.33333333333331439</v>
      </c>
      <c r="G18" s="4">
        <f t="shared" si="3"/>
        <v>33.021931199950373</v>
      </c>
      <c r="H18" s="4">
        <f t="shared" si="4"/>
        <v>-37.544001649074971</v>
      </c>
      <c r="I18" s="4"/>
      <c r="J18" s="4"/>
      <c r="K18" s="4">
        <f t="shared" si="5"/>
        <v>-2.261911678418933</v>
      </c>
      <c r="L18" s="4">
        <f t="shared" si="6"/>
        <v>6.9413987625900404</v>
      </c>
      <c r="M18" s="4">
        <f t="shared" si="7"/>
        <v>5.1162444409679546</v>
      </c>
      <c r="N18" s="4">
        <f t="shared" si="8"/>
        <v>48.183016781286547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212.55</v>
      </c>
      <c r="C19" s="25">
        <v>40</v>
      </c>
      <c r="D19" s="4">
        <f t="shared" si="0"/>
        <v>-57.449999999999989</v>
      </c>
      <c r="E19" s="4">
        <f t="shared" si="1"/>
        <v>-58</v>
      </c>
      <c r="F19" s="4">
        <f t="shared" si="2"/>
        <v>0.91666666666668561</v>
      </c>
      <c r="G19" s="4">
        <f t="shared" si="3"/>
        <v>21.736746499398812</v>
      </c>
      <c r="H19" s="4">
        <f t="shared" si="4"/>
        <v>-33.578473038851449</v>
      </c>
      <c r="I19" s="4"/>
      <c r="J19" s="4"/>
      <c r="K19" s="4">
        <f t="shared" si="5"/>
        <v>-13.547096378970494</v>
      </c>
      <c r="L19" s="4">
        <f t="shared" si="6"/>
        <v>10.906927372813563</v>
      </c>
      <c r="M19" s="4">
        <f t="shared" si="7"/>
        <v>183.52382030111548</v>
      </c>
      <c r="N19" s="4">
        <f t="shared" si="8"/>
        <v>118.96106471582976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232.1</v>
      </c>
      <c r="C20" s="25">
        <v>32</v>
      </c>
      <c r="D20" s="4">
        <f t="shared" si="0"/>
        <v>-37.900000000000006</v>
      </c>
      <c r="E20" s="4">
        <f t="shared" si="1"/>
        <v>-38</v>
      </c>
      <c r="F20" s="4">
        <f t="shared" si="2"/>
        <v>0.16666666666665719</v>
      </c>
      <c r="G20" s="4">
        <f t="shared" si="3"/>
        <v>25.273545721809384</v>
      </c>
      <c r="H20" s="4">
        <f t="shared" si="4"/>
        <v>-19.627732590587495</v>
      </c>
      <c r="I20" s="4"/>
      <c r="J20" s="4"/>
      <c r="K20" s="4">
        <f t="shared" si="5"/>
        <v>-10.010297156559922</v>
      </c>
      <c r="L20" s="4">
        <f t="shared" si="6"/>
        <v>24.857667821077516</v>
      </c>
      <c r="M20" s="4">
        <f t="shared" si="7"/>
        <v>100.20604916263166</v>
      </c>
      <c r="N20" s="4">
        <f t="shared" si="8"/>
        <v>617.90364950303263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238</v>
      </c>
      <c r="C21" s="25">
        <v>38</v>
      </c>
      <c r="D21" s="4">
        <f t="shared" si="0"/>
        <v>-32</v>
      </c>
      <c r="E21" s="4">
        <f t="shared" si="1"/>
        <v>-32</v>
      </c>
      <c r="F21" s="4">
        <f t="shared" si="2"/>
        <v>0</v>
      </c>
      <c r="G21" s="4">
        <f t="shared" si="3"/>
        <v>32.225827653944187</v>
      </c>
      <c r="H21" s="4">
        <f t="shared" si="4"/>
        <v>-20.136932040861787</v>
      </c>
      <c r="I21" s="4"/>
      <c r="J21" s="4"/>
      <c r="K21" s="4">
        <f t="shared" si="5"/>
        <v>-3.0580152244251195</v>
      </c>
      <c r="L21" s="4">
        <f t="shared" si="6"/>
        <v>24.348468370803225</v>
      </c>
      <c r="M21" s="4">
        <f t="shared" si="7"/>
        <v>9.3514571128158135</v>
      </c>
      <c r="N21" s="4">
        <f t="shared" si="8"/>
        <v>592.84791200400502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223.55</v>
      </c>
      <c r="C22" s="25">
        <v>64</v>
      </c>
      <c r="D22" s="4">
        <f t="shared" si="0"/>
        <v>-46.449999999999989</v>
      </c>
      <c r="E22" s="4">
        <f t="shared" si="1"/>
        <v>-47</v>
      </c>
      <c r="F22" s="4">
        <f t="shared" si="2"/>
        <v>0.91666666666668561</v>
      </c>
      <c r="G22" s="4">
        <f t="shared" si="3"/>
        <v>44.391129520547786</v>
      </c>
      <c r="H22" s="4">
        <f t="shared" si="4"/>
        <v>-46.102360242073843</v>
      </c>
      <c r="I22" s="4"/>
      <c r="J22" s="4"/>
      <c r="K22" s="4">
        <f t="shared" si="5"/>
        <v>9.1072866421784795</v>
      </c>
      <c r="L22" s="4">
        <f t="shared" si="6"/>
        <v>-1.6169598304088311</v>
      </c>
      <c r="M22" s="4">
        <f t="shared" si="7"/>
        <v>82.94266998280257</v>
      </c>
      <c r="N22" s="4">
        <f t="shared" si="8"/>
        <v>2.6145590931557559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216.5</v>
      </c>
      <c r="C23" s="25">
        <v>68</v>
      </c>
      <c r="D23" s="4">
        <f t="shared" si="0"/>
        <v>-53.5</v>
      </c>
      <c r="E23" s="4">
        <f t="shared" si="1"/>
        <v>-54</v>
      </c>
      <c r="F23" s="4">
        <f t="shared" si="2"/>
        <v>0.83333333333333337</v>
      </c>
      <c r="G23" s="4">
        <f t="shared" si="3"/>
        <v>40.765275374567778</v>
      </c>
      <c r="H23" s="4">
        <f t="shared" si="4"/>
        <v>-54.426026160612324</v>
      </c>
      <c r="I23" s="4"/>
      <c r="J23" s="4"/>
      <c r="K23" s="4">
        <f t="shared" si="5"/>
        <v>5.4814324961984724</v>
      </c>
      <c r="L23" s="4">
        <f t="shared" si="6"/>
        <v>-9.940625748947312</v>
      </c>
      <c r="M23" s="4">
        <f t="shared" si="7"/>
        <v>30.046102210380617</v>
      </c>
      <c r="N23" s="4">
        <f t="shared" si="8"/>
        <v>98.816040280634311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213.05</v>
      </c>
      <c r="C24" s="25">
        <v>72</v>
      </c>
      <c r="D24" s="4">
        <f t="shared" si="0"/>
        <v>-56.949999999999989</v>
      </c>
      <c r="E24" s="4">
        <f t="shared" si="1"/>
        <v>-57</v>
      </c>
      <c r="F24" s="4">
        <f t="shared" si="2"/>
        <v>8.3333333333352286E-2</v>
      </c>
      <c r="G24" s="4">
        <f t="shared" si="3"/>
        <v>39.301794389991919</v>
      </c>
      <c r="H24" s="4">
        <f t="shared" si="4"/>
        <v>-60.327182577398723</v>
      </c>
      <c r="I24" s="4"/>
      <c r="J24" s="4"/>
      <c r="K24" s="4">
        <f t="shared" si="5"/>
        <v>4.0179515116226128</v>
      </c>
      <c r="L24" s="4">
        <f t="shared" si="6"/>
        <v>-15.841782165733711</v>
      </c>
      <c r="M24" s="4">
        <f t="shared" si="7"/>
        <v>16.143934349750438</v>
      </c>
      <c r="N24" s="4">
        <f t="shared" si="8"/>
        <v>250.96206218655868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231.35</v>
      </c>
      <c r="C25" s="25">
        <v>66</v>
      </c>
      <c r="D25" s="4">
        <f t="shared" si="0"/>
        <v>-38.650000000000006</v>
      </c>
      <c r="E25" s="4">
        <f t="shared" si="1"/>
        <v>-39</v>
      </c>
      <c r="F25" s="4">
        <f t="shared" si="2"/>
        <v>0.58333333333332382</v>
      </c>
      <c r="G25" s="4">
        <f t="shared" si="3"/>
        <v>51.711840814047683</v>
      </c>
      <c r="H25" s="4">
        <f t="shared" si="4"/>
        <v>-41.010797597981345</v>
      </c>
      <c r="I25" s="4"/>
      <c r="J25" s="4"/>
      <c r="K25" s="4">
        <f t="shared" si="5"/>
        <v>16.427997935678377</v>
      </c>
      <c r="L25" s="4">
        <f t="shared" si="6"/>
        <v>3.4746028136836671</v>
      </c>
      <c r="M25" s="4">
        <f t="shared" si="7"/>
        <v>269.87911617465301</v>
      </c>
      <c r="N25" s="4">
        <f t="shared" si="8"/>
        <v>12.072864712858456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229.05</v>
      </c>
      <c r="C26" s="25">
        <v>74</v>
      </c>
      <c r="D26" s="4">
        <f t="shared" si="0"/>
        <v>-40.949999999999989</v>
      </c>
      <c r="E26" s="4">
        <f t="shared" si="1"/>
        <v>-41</v>
      </c>
      <c r="F26" s="4">
        <f t="shared" si="2"/>
        <v>8.3333333333352286E-2</v>
      </c>
      <c r="G26" s="4">
        <f t="shared" si="3"/>
        <v>55.919060579884771</v>
      </c>
      <c r="H26" s="4">
        <f t="shared" si="4"/>
        <v>-48.467088460760422</v>
      </c>
      <c r="I26" s="4"/>
      <c r="J26" s="4"/>
      <c r="K26" s="4">
        <f t="shared" si="5"/>
        <v>20.635217701515465</v>
      </c>
      <c r="L26" s="4">
        <f t="shared" si="6"/>
        <v>-3.9816880490954105</v>
      </c>
      <c r="M26" s="4">
        <f t="shared" si="7"/>
        <v>425.81220958893721</v>
      </c>
      <c r="N26" s="4">
        <f t="shared" si="8"/>
        <v>15.853839720309216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232.25</v>
      </c>
      <c r="C27" s="25">
        <v>80</v>
      </c>
      <c r="D27" s="4">
        <f t="shared" si="0"/>
        <v>-37.75</v>
      </c>
      <c r="E27" s="4">
        <f t="shared" si="1"/>
        <v>-38</v>
      </c>
      <c r="F27" s="4">
        <f t="shared" si="2"/>
        <v>0.41666666666666669</v>
      </c>
      <c r="G27" s="4">
        <f t="shared" si="3"/>
        <v>63.39736750930166</v>
      </c>
      <c r="H27" s="4">
        <f t="shared" si="4"/>
        <v>-48.793173630032939</v>
      </c>
      <c r="I27" s="4"/>
      <c r="J27" s="4"/>
      <c r="K27" s="4">
        <f t="shared" si="5"/>
        <v>28.113524630932353</v>
      </c>
      <c r="L27" s="4">
        <f t="shared" si="6"/>
        <v>-4.3077732183679274</v>
      </c>
      <c r="M27" s="4">
        <f t="shared" si="7"/>
        <v>790.37026717404012</v>
      </c>
      <c r="N27" s="4">
        <f t="shared" si="8"/>
        <v>18.556910100887972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231.1</v>
      </c>
      <c r="C28" s="25">
        <v>88</v>
      </c>
      <c r="D28" s="4">
        <f t="shared" si="0"/>
        <v>-38.900000000000006</v>
      </c>
      <c r="E28" s="4">
        <f t="shared" si="1"/>
        <v>-39</v>
      </c>
      <c r="F28" s="4">
        <f t="shared" si="2"/>
        <v>0.16666666666665719</v>
      </c>
      <c r="G28" s="4">
        <f t="shared" si="3"/>
        <v>68.549649497360718</v>
      </c>
      <c r="H28" s="4">
        <f t="shared" si="4"/>
        <v>-55.181025305706235</v>
      </c>
      <c r="I28" s="4"/>
      <c r="J28" s="4"/>
      <c r="K28" s="4">
        <f t="shared" si="5"/>
        <v>33.265806618991412</v>
      </c>
      <c r="L28" s="4">
        <f t="shared" si="6"/>
        <v>-10.695624894041224</v>
      </c>
      <c r="M28" s="4">
        <f t="shared" si="7"/>
        <v>1106.613890012133</v>
      </c>
      <c r="N28" s="4">
        <f t="shared" si="8"/>
        <v>114.39639187403434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239</v>
      </c>
      <c r="C29" s="25">
        <v>82</v>
      </c>
      <c r="D29" s="4">
        <f t="shared" si="0"/>
        <v>-31</v>
      </c>
      <c r="E29" s="4">
        <f t="shared" si="1"/>
        <v>-31</v>
      </c>
      <c r="F29" s="4">
        <f t="shared" si="2"/>
        <v>0</v>
      </c>
      <c r="G29" s="4">
        <f t="shared" si="3"/>
        <v>70.287718657573208</v>
      </c>
      <c r="H29" s="4">
        <f t="shared" si="4"/>
        <v>-42.233122142624438</v>
      </c>
      <c r="I29" s="4"/>
      <c r="J29" s="4"/>
      <c r="K29" s="4">
        <f t="shared" si="5"/>
        <v>35.003875779203902</v>
      </c>
      <c r="L29" s="4">
        <f t="shared" si="6"/>
        <v>2.2522782690405734</v>
      </c>
      <c r="M29" s="4">
        <f t="shared" si="7"/>
        <v>1225.2713195659376</v>
      </c>
      <c r="N29" s="4">
        <f t="shared" si="8"/>
        <v>5.0727574011924013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155.1</v>
      </c>
      <c r="C30" s="25">
        <v>28</v>
      </c>
      <c r="D30" s="4">
        <f t="shared" si="0"/>
        <v>-114.9</v>
      </c>
      <c r="E30" s="4">
        <f t="shared" si="1"/>
        <v>-115</v>
      </c>
      <c r="F30" s="4">
        <f t="shared" si="2"/>
        <v>0.16666666666665719</v>
      </c>
      <c r="G30" s="4">
        <f t="shared" si="3"/>
        <v>-11.759443778905476</v>
      </c>
      <c r="H30" s="4">
        <f t="shared" si="4"/>
        <v>-25.410932332576099</v>
      </c>
      <c r="I30" s="4"/>
      <c r="J30" s="4"/>
      <c r="K30" s="4">
        <f t="shared" si="5"/>
        <v>-47.043286657274784</v>
      </c>
      <c r="L30" s="4">
        <f t="shared" si="6"/>
        <v>19.074468079088913</v>
      </c>
      <c r="M30" s="4">
        <f t="shared" si="7"/>
        <v>2213.0708195185275</v>
      </c>
      <c r="N30" s="4">
        <f t="shared" si="8"/>
        <v>363.83533250018189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195.3</v>
      </c>
      <c r="C31" s="25">
        <v>108</v>
      </c>
      <c r="D31" s="4">
        <f t="shared" si="0"/>
        <v>-74.699999999999989</v>
      </c>
      <c r="E31" s="4">
        <f t="shared" si="1"/>
        <v>-75</v>
      </c>
      <c r="F31" s="4">
        <f>IF(B31,((D31-E31)/60*100)," ")</f>
        <v>0.50000000000001887</v>
      </c>
      <c r="G31" s="4">
        <f t="shared" si="3"/>
        <v>28.861744616451777</v>
      </c>
      <c r="H31" s="4">
        <f t="shared" si="4"/>
        <v>-104.07208894653128</v>
      </c>
      <c r="I31" s="4"/>
      <c r="J31" s="4"/>
      <c r="K31" s="4">
        <f t="shared" si="5"/>
        <v>-6.4220982619175295</v>
      </c>
      <c r="L31" s="4">
        <f t="shared" si="6"/>
        <v>-59.586688534866269</v>
      </c>
      <c r="M31" s="4">
        <f t="shared" si="7"/>
        <v>41.243346085724156</v>
      </c>
      <c r="N31" s="4">
        <f t="shared" si="8"/>
        <v>3550.5734505511632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244.55</v>
      </c>
      <c r="C32" s="25">
        <v>96</v>
      </c>
      <c r="D32" s="4">
        <f t="shared" si="0"/>
        <v>-25.449999999999989</v>
      </c>
      <c r="E32" s="4">
        <f t="shared" si="1"/>
        <v>-26</v>
      </c>
      <c r="F32" s="4">
        <f t="shared" si="2"/>
        <v>0.91666666666668561</v>
      </c>
      <c r="G32" s="4">
        <f t="shared" si="3"/>
        <v>86.946446909454451</v>
      </c>
      <c r="H32" s="4">
        <f>IF(B32,(C32*SIN(PI()/180*(E32+F32)))," ")</f>
        <v>-40.697854609566569</v>
      </c>
      <c r="I32" s="4"/>
      <c r="J32" s="4"/>
      <c r="K32" s="4">
        <f t="shared" si="5"/>
        <v>51.662604031085145</v>
      </c>
      <c r="L32" s="4">
        <f t="shared" si="6"/>
        <v>3.7875458020984425</v>
      </c>
      <c r="M32" s="4">
        <f t="shared" si="7"/>
        <v>2669.0246552726949</v>
      </c>
      <c r="N32" s="4">
        <f t="shared" si="8"/>
        <v>14.345503202993534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191.15</v>
      </c>
      <c r="C33" s="25">
        <v>40</v>
      </c>
      <c r="D33" s="4">
        <f t="shared" si="0"/>
        <v>-78.849999999999994</v>
      </c>
      <c r="E33" s="4">
        <f t="shared" si="1"/>
        <v>-79</v>
      </c>
      <c r="F33" s="4">
        <f t="shared" si="2"/>
        <v>0.25000000000000944</v>
      </c>
      <c r="G33" s="4">
        <f t="shared" si="3"/>
        <v>7.803612880645141</v>
      </c>
      <c r="H33" s="4">
        <f t="shared" si="4"/>
        <v>-39.231411216129217</v>
      </c>
      <c r="I33" s="4"/>
      <c r="J33" s="4"/>
      <c r="K33" s="4">
        <f t="shared" si="5"/>
        <v>-27.480229997724166</v>
      </c>
      <c r="L33" s="4">
        <f t="shared" si="6"/>
        <v>5.2539891955357945</v>
      </c>
      <c r="M33" s="4">
        <f t="shared" si="7"/>
        <v>755.16304072781907</v>
      </c>
      <c r="N33" s="4">
        <f t="shared" si="8"/>
        <v>27.604402466806864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203.4</v>
      </c>
      <c r="C34" s="25">
        <v>28</v>
      </c>
      <c r="D34" s="4">
        <f t="shared" si="0"/>
        <v>-66.599999999999994</v>
      </c>
      <c r="E34" s="4">
        <f t="shared" si="1"/>
        <v>-67</v>
      </c>
      <c r="F34" s="4">
        <f t="shared" si="2"/>
        <v>0.66666666666667618</v>
      </c>
      <c r="G34" s="4">
        <f t="shared" si="3"/>
        <v>11.239619937296499</v>
      </c>
      <c r="H34" s="4">
        <f t="shared" si="4"/>
        <v>-25.645095898926307</v>
      </c>
      <c r="I34" s="4"/>
      <c r="J34" s="4"/>
      <c r="K34" s="4">
        <f>IF(B34,SUM(G34,-$I$12)," ")</f>
        <v>-24.044222941072807</v>
      </c>
      <c r="L34" s="4">
        <f t="shared" si="6"/>
        <v>18.840304512738705</v>
      </c>
      <c r="M34" s="4">
        <f t="shared" si="7"/>
        <v>578.12465684001188</v>
      </c>
      <c r="N34" s="4">
        <f t="shared" si="8"/>
        <v>354.95707413272237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/>
      <c r="C38" s="25"/>
      <c r="D38" s="4" t="str">
        <f t="shared" ref="D38:D61" si="9">IF(B38,B38-$C$4," ")</f>
        <v xml:space="preserve"> </v>
      </c>
      <c r="E38" s="4" t="str">
        <f t="shared" ref="E38:E61" si="10">IF(B38,INT(D38)," ")</f>
        <v xml:space="preserve"> </v>
      </c>
      <c r="F38" s="4" t="str">
        <f t="shared" ref="F38:F61" si="11">IF(B38,((D38-E38)/60*100)," ")</f>
        <v xml:space="preserve"> </v>
      </c>
      <c r="G38" s="4" t="str">
        <f t="shared" ref="G38:G61" si="12">IF(B38,C38*COS(PI()/180*(E38+F38))," ")</f>
        <v xml:space="preserve"> </v>
      </c>
      <c r="H38" s="4" t="str">
        <f t="shared" ref="H38:H61" si="13">IF(B38,(C38*SIN(PI()/180*(E38+F38)))," ")</f>
        <v xml:space="preserve"> </v>
      </c>
      <c r="I38" s="4" t="e">
        <f>SUM(G38:G61)/E6</f>
        <v>#DIV/0!</v>
      </c>
      <c r="J38" s="4" t="e">
        <f>SUM(H38:H61)/E6</f>
        <v>#DIV/0!</v>
      </c>
      <c r="K38" s="4" t="str">
        <f t="shared" ref="K38:K61" si="14">IF(B38,SUM(G38,-$I$12)," ")</f>
        <v xml:space="preserve"> </v>
      </c>
      <c r="L38" s="4" t="str">
        <f t="shared" ref="L38:L61" si="15">IF(B38,SUM(H38,-$J$12)," ")</f>
        <v xml:space="preserve"> </v>
      </c>
      <c r="M38" s="4" t="str">
        <f t="shared" ref="M38:M61" si="16">IF(B38,POWER(K38,2)," ")</f>
        <v xml:space="preserve"> </v>
      </c>
      <c r="N38" s="4" t="str">
        <f t="shared" ref="N38:N61" si="17">IF(B38,POWER(L38,2)," ")</f>
        <v xml:space="preserve"> </v>
      </c>
      <c r="O38" s="4">
        <f>E6-1</f>
        <v>-1</v>
      </c>
      <c r="P38" s="4">
        <f>SUM(M38:M61)</f>
        <v>0</v>
      </c>
      <c r="Q38" s="4">
        <f>SUM(N38:N61)</f>
        <v>0</v>
      </c>
      <c r="R38" s="4">
        <f>PRODUCT(P38,1/$O$38)</f>
        <v>0</v>
      </c>
      <c r="S38" s="4">
        <f>PRODUCT(Q38,1/$O$38)</f>
        <v>0</v>
      </c>
      <c r="T38" s="4">
        <f>SQRT(R38)</f>
        <v>0</v>
      </c>
      <c r="U38" s="4">
        <f>SQRT(S38)</f>
        <v>0</v>
      </c>
      <c r="V38" s="4">
        <f>PRODUCT(T38:U38)</f>
        <v>0</v>
      </c>
      <c r="W38" s="10">
        <f>SQRT(V38)</f>
        <v>0</v>
      </c>
    </row>
    <row r="39" spans="1:23">
      <c r="A39" s="3">
        <v>2</v>
      </c>
      <c r="B39" s="25"/>
      <c r="C39" s="25"/>
      <c r="D39" s="4" t="str">
        <f t="shared" si="9"/>
        <v xml:space="preserve"> </v>
      </c>
      <c r="E39" s="4" t="str">
        <f t="shared" si="10"/>
        <v xml:space="preserve"> </v>
      </c>
      <c r="F39" s="4" t="str">
        <f t="shared" si="11"/>
        <v xml:space="preserve"> </v>
      </c>
      <c r="G39" s="4" t="str">
        <f t="shared" si="12"/>
        <v xml:space="preserve"> </v>
      </c>
      <c r="H39" s="4" t="str">
        <f t="shared" si="13"/>
        <v xml:space="preserve"> </v>
      </c>
      <c r="I39" s="4"/>
      <c r="J39" s="4"/>
      <c r="K39" s="4" t="str">
        <f t="shared" si="14"/>
        <v xml:space="preserve"> </v>
      </c>
      <c r="L39" s="4" t="str">
        <f t="shared" si="15"/>
        <v xml:space="preserve"> </v>
      </c>
      <c r="M39" s="4" t="str">
        <f t="shared" si="16"/>
        <v xml:space="preserve"> </v>
      </c>
      <c r="N39" s="4" t="str">
        <f t="shared" si="17"/>
        <v xml:space="preserve"> 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/>
      <c r="C40" s="25"/>
      <c r="D40" s="4" t="str">
        <f t="shared" si="9"/>
        <v xml:space="preserve"> </v>
      </c>
      <c r="E40" s="4" t="str">
        <f t="shared" si="10"/>
        <v xml:space="preserve"> </v>
      </c>
      <c r="F40" s="4" t="str">
        <f t="shared" si="11"/>
        <v xml:space="preserve"> </v>
      </c>
      <c r="G40" s="4" t="str">
        <f t="shared" si="12"/>
        <v xml:space="preserve"> </v>
      </c>
      <c r="H40" s="4" t="str">
        <f t="shared" si="13"/>
        <v xml:space="preserve"> </v>
      </c>
      <c r="I40" s="4"/>
      <c r="J40" s="4"/>
      <c r="K40" s="4" t="str">
        <f t="shared" si="14"/>
        <v xml:space="preserve"> </v>
      </c>
      <c r="L40" s="4" t="str">
        <f t="shared" si="15"/>
        <v xml:space="preserve"> </v>
      </c>
      <c r="M40" s="4" t="str">
        <f t="shared" si="16"/>
        <v xml:space="preserve"> </v>
      </c>
      <c r="N40" s="4" t="str">
        <f t="shared" si="17"/>
        <v xml:space="preserve"> 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/>
      <c r="C41" s="25"/>
      <c r="D41" s="4" t="str">
        <f t="shared" si="9"/>
        <v xml:space="preserve"> </v>
      </c>
      <c r="E41" s="4" t="str">
        <f t="shared" si="10"/>
        <v xml:space="preserve"> </v>
      </c>
      <c r="F41" s="4" t="str">
        <f t="shared" si="11"/>
        <v xml:space="preserve"> </v>
      </c>
      <c r="G41" s="4" t="str">
        <f t="shared" si="12"/>
        <v xml:space="preserve"> </v>
      </c>
      <c r="H41" s="4" t="str">
        <f t="shared" si="13"/>
        <v xml:space="preserve"> </v>
      </c>
      <c r="I41" s="4"/>
      <c r="J41" s="4"/>
      <c r="K41" s="4" t="str">
        <f t="shared" si="14"/>
        <v xml:space="preserve"> </v>
      </c>
      <c r="L41" s="4" t="str">
        <f t="shared" si="15"/>
        <v xml:space="preserve"> </v>
      </c>
      <c r="M41" s="4" t="str">
        <f t="shared" si="16"/>
        <v xml:space="preserve"> </v>
      </c>
      <c r="N41" s="4" t="str">
        <f t="shared" si="17"/>
        <v xml:space="preserve"> 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/>
      <c r="C42" s="25"/>
      <c r="D42" s="4" t="str">
        <f t="shared" si="9"/>
        <v xml:space="preserve"> </v>
      </c>
      <c r="E42" s="4" t="str">
        <f t="shared" si="10"/>
        <v xml:space="preserve"> </v>
      </c>
      <c r="F42" s="4" t="str">
        <f t="shared" si="11"/>
        <v xml:space="preserve"> </v>
      </c>
      <c r="G42" s="4" t="str">
        <f t="shared" si="12"/>
        <v xml:space="preserve"> </v>
      </c>
      <c r="H42" s="4" t="str">
        <f t="shared" si="13"/>
        <v xml:space="preserve"> </v>
      </c>
      <c r="I42" s="4"/>
      <c r="J42" s="4"/>
      <c r="K42" s="4" t="str">
        <f t="shared" si="14"/>
        <v xml:space="preserve"> </v>
      </c>
      <c r="L42" s="4" t="str">
        <f t="shared" si="15"/>
        <v xml:space="preserve"> </v>
      </c>
      <c r="M42" s="4" t="str">
        <f t="shared" si="16"/>
        <v xml:space="preserve"> </v>
      </c>
      <c r="N42" s="4" t="str">
        <f t="shared" si="17"/>
        <v xml:space="preserve"> 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/>
      <c r="C43" s="25"/>
      <c r="D43" s="4" t="str">
        <f t="shared" si="9"/>
        <v xml:space="preserve"> </v>
      </c>
      <c r="E43" s="4" t="str">
        <f t="shared" si="10"/>
        <v xml:space="preserve"> </v>
      </c>
      <c r="F43" s="4" t="str">
        <f t="shared" si="11"/>
        <v xml:space="preserve"> </v>
      </c>
      <c r="G43" s="4" t="str">
        <f t="shared" si="12"/>
        <v xml:space="preserve"> </v>
      </c>
      <c r="H43" s="4" t="str">
        <f t="shared" si="13"/>
        <v xml:space="preserve"> </v>
      </c>
      <c r="I43" s="4"/>
      <c r="J43" s="4"/>
      <c r="K43" s="4" t="str">
        <f t="shared" si="14"/>
        <v xml:space="preserve"> </v>
      </c>
      <c r="L43" s="4" t="str">
        <f t="shared" si="15"/>
        <v xml:space="preserve"> </v>
      </c>
      <c r="M43" s="4" t="str">
        <f t="shared" si="16"/>
        <v xml:space="preserve"> </v>
      </c>
      <c r="N43" s="4" t="str">
        <f t="shared" si="17"/>
        <v xml:space="preserve"> 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/>
      <c r="C44" s="25"/>
      <c r="D44" s="4" t="str">
        <f t="shared" si="9"/>
        <v xml:space="preserve"> </v>
      </c>
      <c r="E44" s="4" t="str">
        <f t="shared" si="10"/>
        <v xml:space="preserve"> </v>
      </c>
      <c r="F44" s="4" t="str">
        <f t="shared" si="11"/>
        <v xml:space="preserve"> </v>
      </c>
      <c r="G44" s="4" t="str">
        <f t="shared" si="12"/>
        <v xml:space="preserve"> </v>
      </c>
      <c r="H44" s="4" t="str">
        <f t="shared" si="13"/>
        <v xml:space="preserve"> </v>
      </c>
      <c r="I44" s="4"/>
      <c r="J44" s="4"/>
      <c r="K44" s="4" t="str">
        <f t="shared" si="14"/>
        <v xml:space="preserve"> </v>
      </c>
      <c r="L44" s="4" t="str">
        <f t="shared" si="15"/>
        <v xml:space="preserve"> </v>
      </c>
      <c r="M44" s="4" t="str">
        <f t="shared" si="16"/>
        <v xml:space="preserve"> </v>
      </c>
      <c r="N44" s="4" t="str">
        <f t="shared" si="17"/>
        <v xml:space="preserve"> 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/>
      <c r="C45" s="25"/>
      <c r="D45" s="4" t="str">
        <f t="shared" si="9"/>
        <v xml:space="preserve"> </v>
      </c>
      <c r="E45" s="4" t="str">
        <f t="shared" si="10"/>
        <v xml:space="preserve"> </v>
      </c>
      <c r="F45" s="4" t="str">
        <f t="shared" si="11"/>
        <v xml:space="preserve"> </v>
      </c>
      <c r="G45" s="4" t="str">
        <f t="shared" si="12"/>
        <v xml:space="preserve"> </v>
      </c>
      <c r="H45" s="4" t="str">
        <f t="shared" si="13"/>
        <v xml:space="preserve"> </v>
      </c>
      <c r="I45" s="4"/>
      <c r="J45" s="4"/>
      <c r="K45" s="4" t="str">
        <f t="shared" si="14"/>
        <v xml:space="preserve"> </v>
      </c>
      <c r="L45" s="4" t="str">
        <f t="shared" si="15"/>
        <v xml:space="preserve"> </v>
      </c>
      <c r="M45" s="4" t="str">
        <f t="shared" si="16"/>
        <v xml:space="preserve"> </v>
      </c>
      <c r="N45" s="4" t="str">
        <f t="shared" si="17"/>
        <v xml:space="preserve"> 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/>
      <c r="C46" s="25"/>
      <c r="D46" s="4" t="str">
        <f t="shared" si="9"/>
        <v xml:space="preserve"> </v>
      </c>
      <c r="E46" s="4" t="str">
        <f t="shared" si="10"/>
        <v xml:space="preserve"> </v>
      </c>
      <c r="F46" s="4" t="str">
        <f t="shared" si="11"/>
        <v xml:space="preserve"> </v>
      </c>
      <c r="G46" s="4" t="str">
        <f t="shared" si="12"/>
        <v xml:space="preserve"> </v>
      </c>
      <c r="H46" s="4" t="str">
        <f t="shared" si="13"/>
        <v xml:space="preserve"> </v>
      </c>
      <c r="I46" s="4"/>
      <c r="J46" s="4"/>
      <c r="K46" s="4" t="str">
        <f t="shared" si="14"/>
        <v xml:space="preserve"> </v>
      </c>
      <c r="L46" s="4" t="str">
        <f t="shared" si="15"/>
        <v xml:space="preserve"> </v>
      </c>
      <c r="M46" s="4" t="str">
        <f t="shared" si="16"/>
        <v xml:space="preserve"> </v>
      </c>
      <c r="N46" s="4" t="str">
        <f t="shared" si="17"/>
        <v xml:space="preserve"> 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/>
      <c r="C47" s="25"/>
      <c r="D47" s="4" t="str">
        <f t="shared" si="9"/>
        <v xml:space="preserve"> </v>
      </c>
      <c r="E47" s="4" t="str">
        <f t="shared" si="10"/>
        <v xml:space="preserve"> </v>
      </c>
      <c r="F47" s="4" t="str">
        <f t="shared" si="11"/>
        <v xml:space="preserve"> </v>
      </c>
      <c r="G47" s="4" t="str">
        <f t="shared" si="12"/>
        <v xml:space="preserve"> </v>
      </c>
      <c r="H47" s="4" t="str">
        <f t="shared" si="13"/>
        <v xml:space="preserve"> </v>
      </c>
      <c r="I47" s="4"/>
      <c r="J47" s="4"/>
      <c r="K47" s="4" t="str">
        <f t="shared" si="14"/>
        <v xml:space="preserve"> </v>
      </c>
      <c r="L47" s="4" t="str">
        <f t="shared" si="15"/>
        <v xml:space="preserve"> </v>
      </c>
      <c r="M47" s="4" t="str">
        <f t="shared" si="16"/>
        <v xml:space="preserve"> </v>
      </c>
      <c r="N47" s="4" t="str">
        <f t="shared" si="17"/>
        <v xml:space="preserve"> 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/>
      <c r="C48" s="25"/>
      <c r="D48" s="4" t="str">
        <f t="shared" si="9"/>
        <v xml:space="preserve"> </v>
      </c>
      <c r="E48" s="4" t="str">
        <f t="shared" si="10"/>
        <v xml:space="preserve"> </v>
      </c>
      <c r="F48" s="4" t="str">
        <f t="shared" si="11"/>
        <v xml:space="preserve"> </v>
      </c>
      <c r="G48" s="4" t="str">
        <f t="shared" si="12"/>
        <v xml:space="preserve"> </v>
      </c>
      <c r="H48" s="4" t="str">
        <f t="shared" si="13"/>
        <v xml:space="preserve"> </v>
      </c>
      <c r="I48" s="4"/>
      <c r="J48" s="4"/>
      <c r="K48" s="4" t="str">
        <f t="shared" si="14"/>
        <v xml:space="preserve"> </v>
      </c>
      <c r="L48" s="4" t="str">
        <f t="shared" si="15"/>
        <v xml:space="preserve"> </v>
      </c>
      <c r="M48" s="4" t="str">
        <f t="shared" si="16"/>
        <v xml:space="preserve"> </v>
      </c>
      <c r="N48" s="4" t="str">
        <f t="shared" si="17"/>
        <v xml:space="preserve"> 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/>
      <c r="C49" s="25"/>
      <c r="D49" s="4" t="str">
        <f t="shared" si="9"/>
        <v xml:space="preserve"> </v>
      </c>
      <c r="E49" s="4" t="str">
        <f t="shared" si="10"/>
        <v xml:space="preserve"> </v>
      </c>
      <c r="F49" s="4" t="str">
        <f t="shared" si="11"/>
        <v xml:space="preserve"> </v>
      </c>
      <c r="G49" s="4" t="str">
        <f t="shared" si="12"/>
        <v xml:space="preserve"> </v>
      </c>
      <c r="H49" s="4" t="str">
        <f t="shared" si="13"/>
        <v xml:space="preserve"> </v>
      </c>
      <c r="I49" s="4"/>
      <c r="J49" s="4"/>
      <c r="K49" s="4" t="str">
        <f t="shared" si="14"/>
        <v xml:space="preserve"> </v>
      </c>
      <c r="L49" s="4" t="str">
        <f t="shared" si="15"/>
        <v xml:space="preserve"> </v>
      </c>
      <c r="M49" s="4" t="str">
        <f t="shared" si="16"/>
        <v xml:space="preserve"> </v>
      </c>
      <c r="N49" s="4" t="str">
        <f t="shared" si="17"/>
        <v xml:space="preserve"> 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/>
      <c r="C50" s="25"/>
      <c r="D50" s="4" t="str">
        <f t="shared" si="9"/>
        <v xml:space="preserve"> </v>
      </c>
      <c r="E50" s="4" t="str">
        <f t="shared" si="10"/>
        <v xml:space="preserve"> </v>
      </c>
      <c r="F50" s="4" t="str">
        <f t="shared" si="11"/>
        <v xml:space="preserve"> </v>
      </c>
      <c r="G50" s="4" t="str">
        <f t="shared" si="12"/>
        <v xml:space="preserve"> </v>
      </c>
      <c r="H50" s="4" t="str">
        <f t="shared" si="13"/>
        <v xml:space="preserve"> </v>
      </c>
      <c r="I50" s="4"/>
      <c r="J50" s="4"/>
      <c r="K50" s="4" t="str">
        <f t="shared" si="14"/>
        <v xml:space="preserve"> </v>
      </c>
      <c r="L50" s="4" t="str">
        <f t="shared" si="15"/>
        <v xml:space="preserve"> </v>
      </c>
      <c r="M50" s="4" t="str">
        <f t="shared" si="16"/>
        <v xml:space="preserve"> </v>
      </c>
      <c r="N50" s="4" t="str">
        <f t="shared" si="17"/>
        <v xml:space="preserve"> 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/>
      <c r="C51" s="25"/>
      <c r="D51" s="4" t="str">
        <f t="shared" si="9"/>
        <v xml:space="preserve"> </v>
      </c>
      <c r="E51" s="4" t="str">
        <f t="shared" si="10"/>
        <v xml:space="preserve"> </v>
      </c>
      <c r="F51" s="4" t="str">
        <f t="shared" si="11"/>
        <v xml:space="preserve"> </v>
      </c>
      <c r="G51" s="4" t="str">
        <f t="shared" si="12"/>
        <v xml:space="preserve"> </v>
      </c>
      <c r="H51" s="4" t="str">
        <f t="shared" si="13"/>
        <v xml:space="preserve"> </v>
      </c>
      <c r="I51" s="4"/>
      <c r="J51" s="4"/>
      <c r="K51" s="4" t="str">
        <f t="shared" si="14"/>
        <v xml:space="preserve"> </v>
      </c>
      <c r="L51" s="4" t="str">
        <f t="shared" si="15"/>
        <v xml:space="preserve"> </v>
      </c>
      <c r="M51" s="4" t="str">
        <f t="shared" si="16"/>
        <v xml:space="preserve"> </v>
      </c>
      <c r="N51" s="4" t="str">
        <f t="shared" si="17"/>
        <v xml:space="preserve"> 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/>
      <c r="C52" s="25"/>
      <c r="D52" s="4" t="str">
        <f t="shared" si="9"/>
        <v xml:space="preserve"> </v>
      </c>
      <c r="E52" s="4" t="str">
        <f t="shared" si="10"/>
        <v xml:space="preserve"> </v>
      </c>
      <c r="F52" s="4" t="str">
        <f t="shared" si="11"/>
        <v xml:space="preserve"> </v>
      </c>
      <c r="G52" s="4" t="str">
        <f t="shared" si="12"/>
        <v xml:space="preserve"> </v>
      </c>
      <c r="H52" s="4" t="str">
        <f t="shared" si="13"/>
        <v xml:space="preserve"> </v>
      </c>
      <c r="I52" s="4"/>
      <c r="J52" s="4"/>
      <c r="K52" s="4" t="str">
        <f t="shared" si="14"/>
        <v xml:space="preserve"> </v>
      </c>
      <c r="L52" s="4" t="str">
        <f t="shared" si="15"/>
        <v xml:space="preserve"> </v>
      </c>
      <c r="M52" s="4" t="str">
        <f t="shared" si="16"/>
        <v xml:space="preserve"> </v>
      </c>
      <c r="N52" s="4" t="str">
        <f t="shared" si="17"/>
        <v xml:space="preserve"> 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/>
      <c r="C53" s="25"/>
      <c r="D53" s="4" t="str">
        <f t="shared" si="9"/>
        <v xml:space="preserve"> </v>
      </c>
      <c r="E53" s="4" t="str">
        <f t="shared" si="10"/>
        <v xml:space="preserve"> </v>
      </c>
      <c r="F53" s="4" t="str">
        <f t="shared" si="11"/>
        <v xml:space="preserve"> </v>
      </c>
      <c r="G53" s="4" t="str">
        <f t="shared" si="12"/>
        <v xml:space="preserve"> </v>
      </c>
      <c r="H53" s="4" t="str">
        <f t="shared" si="13"/>
        <v xml:space="preserve"> </v>
      </c>
      <c r="I53" s="4"/>
      <c r="J53" s="4"/>
      <c r="K53" s="4" t="str">
        <f t="shared" si="14"/>
        <v xml:space="preserve"> </v>
      </c>
      <c r="L53" s="4" t="str">
        <f t="shared" si="15"/>
        <v xml:space="preserve"> </v>
      </c>
      <c r="M53" s="4" t="str">
        <f t="shared" si="16"/>
        <v xml:space="preserve"> </v>
      </c>
      <c r="N53" s="4" t="str">
        <f t="shared" si="17"/>
        <v xml:space="preserve"> 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/>
      <c r="C54" s="25"/>
      <c r="D54" s="4" t="str">
        <f t="shared" si="9"/>
        <v xml:space="preserve"> </v>
      </c>
      <c r="E54" s="4" t="str">
        <f t="shared" si="10"/>
        <v xml:space="preserve"> </v>
      </c>
      <c r="F54" s="4" t="str">
        <f t="shared" si="11"/>
        <v xml:space="preserve"> </v>
      </c>
      <c r="G54" s="4" t="str">
        <f t="shared" si="12"/>
        <v xml:space="preserve"> </v>
      </c>
      <c r="H54" s="4" t="str">
        <f t="shared" si="13"/>
        <v xml:space="preserve"> </v>
      </c>
      <c r="I54" s="4"/>
      <c r="J54" s="4"/>
      <c r="K54" s="4" t="str">
        <f t="shared" si="14"/>
        <v xml:space="preserve"> </v>
      </c>
      <c r="L54" s="4" t="str">
        <f t="shared" si="15"/>
        <v xml:space="preserve"> </v>
      </c>
      <c r="M54" s="4" t="str">
        <f t="shared" si="16"/>
        <v xml:space="preserve"> </v>
      </c>
      <c r="N54" s="4" t="str">
        <f t="shared" si="17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/>
      <c r="C55" s="25"/>
      <c r="D55" s="4" t="str">
        <f t="shared" si="9"/>
        <v xml:space="preserve"> </v>
      </c>
      <c r="E55" s="4" t="str">
        <f t="shared" si="10"/>
        <v xml:space="preserve"> </v>
      </c>
      <c r="F55" s="4" t="str">
        <f t="shared" si="11"/>
        <v xml:space="preserve"> </v>
      </c>
      <c r="G55" s="4" t="str">
        <f t="shared" si="12"/>
        <v xml:space="preserve"> </v>
      </c>
      <c r="H55" s="4" t="str">
        <f t="shared" si="13"/>
        <v xml:space="preserve"> </v>
      </c>
      <c r="I55" s="4"/>
      <c r="J55" s="4"/>
      <c r="K55" s="4" t="str">
        <f t="shared" si="14"/>
        <v xml:space="preserve"> </v>
      </c>
      <c r="L55" s="4" t="str">
        <f t="shared" si="15"/>
        <v xml:space="preserve"> </v>
      </c>
      <c r="M55" s="4" t="str">
        <f t="shared" si="16"/>
        <v xml:space="preserve"> </v>
      </c>
      <c r="N55" s="4" t="str">
        <f t="shared" si="17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/>
      <c r="C56" s="25"/>
      <c r="D56" s="4" t="str">
        <f t="shared" si="9"/>
        <v xml:space="preserve"> </v>
      </c>
      <c r="E56" s="4" t="str">
        <f t="shared" si="10"/>
        <v xml:space="preserve"> </v>
      </c>
      <c r="F56" s="4" t="str">
        <f t="shared" si="11"/>
        <v xml:space="preserve"> </v>
      </c>
      <c r="G56" s="4" t="str">
        <f t="shared" si="12"/>
        <v xml:space="preserve"> </v>
      </c>
      <c r="H56" s="4" t="str">
        <f t="shared" si="13"/>
        <v xml:space="preserve"> </v>
      </c>
      <c r="I56" s="4"/>
      <c r="J56" s="4"/>
      <c r="K56" s="4" t="str">
        <f t="shared" si="14"/>
        <v xml:space="preserve"> </v>
      </c>
      <c r="L56" s="4" t="str">
        <f t="shared" si="15"/>
        <v xml:space="preserve"> </v>
      </c>
      <c r="M56" s="4" t="str">
        <f t="shared" si="16"/>
        <v xml:space="preserve"> </v>
      </c>
      <c r="N56" s="4" t="str">
        <f t="shared" si="17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/>
      <c r="C57" s="25"/>
      <c r="D57" s="4" t="str">
        <f t="shared" si="9"/>
        <v xml:space="preserve"> </v>
      </c>
      <c r="E57" s="4" t="str">
        <f t="shared" si="10"/>
        <v xml:space="preserve"> </v>
      </c>
      <c r="F57" s="4" t="str">
        <f t="shared" si="11"/>
        <v xml:space="preserve"> </v>
      </c>
      <c r="G57" s="4" t="str">
        <f t="shared" si="12"/>
        <v xml:space="preserve"> </v>
      </c>
      <c r="H57" s="4" t="str">
        <f t="shared" si="13"/>
        <v xml:space="preserve"> </v>
      </c>
      <c r="I57" s="4"/>
      <c r="J57" s="4"/>
      <c r="K57" s="4" t="str">
        <f t="shared" si="14"/>
        <v xml:space="preserve"> </v>
      </c>
      <c r="L57" s="4" t="str">
        <f t="shared" si="15"/>
        <v xml:space="preserve"> </v>
      </c>
      <c r="M57" s="4" t="str">
        <f t="shared" si="16"/>
        <v xml:space="preserve"> </v>
      </c>
      <c r="N57" s="4" t="str">
        <f t="shared" si="17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/>
      <c r="C58" s="25"/>
      <c r="D58" s="4" t="str">
        <f t="shared" si="9"/>
        <v xml:space="preserve"> </v>
      </c>
      <c r="E58" s="4" t="str">
        <f t="shared" si="10"/>
        <v xml:space="preserve"> </v>
      </c>
      <c r="F58" s="4" t="str">
        <f t="shared" si="11"/>
        <v xml:space="preserve"> </v>
      </c>
      <c r="G58" s="4" t="str">
        <f t="shared" si="12"/>
        <v xml:space="preserve"> </v>
      </c>
      <c r="H58" s="4" t="str">
        <f t="shared" si="13"/>
        <v xml:space="preserve"> </v>
      </c>
      <c r="I58" s="4"/>
      <c r="J58" s="4"/>
      <c r="K58" s="4" t="str">
        <f t="shared" si="14"/>
        <v xml:space="preserve"> </v>
      </c>
      <c r="L58" s="4" t="str">
        <f t="shared" si="15"/>
        <v xml:space="preserve"> </v>
      </c>
      <c r="M58" s="4" t="str">
        <f t="shared" si="16"/>
        <v xml:space="preserve"> </v>
      </c>
      <c r="N58" s="4" t="str">
        <f t="shared" si="17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/>
      <c r="C59" s="25"/>
      <c r="D59" s="4" t="str">
        <f t="shared" si="9"/>
        <v xml:space="preserve"> </v>
      </c>
      <c r="E59" s="4" t="str">
        <f t="shared" si="10"/>
        <v xml:space="preserve"> </v>
      </c>
      <c r="F59" s="4" t="str">
        <f t="shared" si="11"/>
        <v xml:space="preserve"> </v>
      </c>
      <c r="G59" s="4" t="str">
        <f t="shared" si="12"/>
        <v xml:space="preserve"> </v>
      </c>
      <c r="H59" s="4" t="str">
        <f t="shared" si="13"/>
        <v xml:space="preserve"> </v>
      </c>
      <c r="I59" s="4"/>
      <c r="J59" s="4"/>
      <c r="K59" s="4" t="str">
        <f t="shared" si="14"/>
        <v xml:space="preserve"> </v>
      </c>
      <c r="L59" s="4" t="str">
        <f t="shared" si="15"/>
        <v xml:space="preserve"> </v>
      </c>
      <c r="M59" s="4" t="str">
        <f t="shared" si="16"/>
        <v xml:space="preserve"> </v>
      </c>
      <c r="N59" s="4" t="str">
        <f t="shared" si="17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9"/>
        <v xml:space="preserve"> </v>
      </c>
      <c r="E60" s="4" t="str">
        <f t="shared" si="10"/>
        <v xml:space="preserve"> </v>
      </c>
      <c r="F60" s="4" t="str">
        <f t="shared" si="11"/>
        <v xml:space="preserve"> </v>
      </c>
      <c r="G60" s="4" t="str">
        <f t="shared" si="12"/>
        <v xml:space="preserve"> </v>
      </c>
      <c r="H60" s="4" t="str">
        <f t="shared" si="13"/>
        <v xml:space="preserve"> </v>
      </c>
      <c r="I60" s="4"/>
      <c r="J60" s="4"/>
      <c r="K60" s="4" t="str">
        <f t="shared" si="14"/>
        <v xml:space="preserve"> </v>
      </c>
      <c r="L60" s="4" t="str">
        <f t="shared" si="15"/>
        <v xml:space="preserve"> </v>
      </c>
      <c r="M60" s="4" t="str">
        <f t="shared" si="16"/>
        <v xml:space="preserve"> </v>
      </c>
      <c r="N60" s="4" t="str">
        <f t="shared" si="17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9"/>
        <v xml:space="preserve"> </v>
      </c>
      <c r="E61" s="7" t="str">
        <f t="shared" si="10"/>
        <v xml:space="preserve"> </v>
      </c>
      <c r="F61" s="7" t="str">
        <f t="shared" si="11"/>
        <v xml:space="preserve"> </v>
      </c>
      <c r="G61" s="7" t="str">
        <f t="shared" si="12"/>
        <v xml:space="preserve"> </v>
      </c>
      <c r="H61" s="7" t="str">
        <f t="shared" si="13"/>
        <v xml:space="preserve"> </v>
      </c>
      <c r="I61" s="7"/>
      <c r="J61" s="7"/>
      <c r="K61" s="7" t="str">
        <f t="shared" si="14"/>
        <v xml:space="preserve"> </v>
      </c>
      <c r="L61" s="7" t="str">
        <f t="shared" si="15"/>
        <v xml:space="preserve"> </v>
      </c>
      <c r="M61" s="7" t="str">
        <f t="shared" si="16"/>
        <v xml:space="preserve"> </v>
      </c>
      <c r="N61" s="7" t="str">
        <f t="shared" si="1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2"/>
  </sheetPr>
  <dimension ref="A1:AB62"/>
  <sheetViews>
    <sheetView zoomScale="55" zoomScaleNormal="55" workbookViewId="0">
      <selection activeCell="L5" sqref="L5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8"/>
      <c r="H2" s="28"/>
      <c r="I2" s="107" t="s">
        <v>23</v>
      </c>
      <c r="J2" s="10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43.441731857685127</v>
      </c>
      <c r="J4" s="17">
        <f>(J12+J38)/2</f>
        <v>-29.816762206445546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45</v>
      </c>
      <c r="D6" s="22">
        <v>23</v>
      </c>
      <c r="E6" s="22">
        <v>22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200.2</v>
      </c>
      <c r="C12" s="25">
        <v>22</v>
      </c>
      <c r="D12" s="4">
        <f>IF(B12,B12-$C$4," ")</f>
        <v>-69.800000000000011</v>
      </c>
      <c r="E12" s="4">
        <f>IF(B12,INT(D12)," ")</f>
        <v>-70</v>
      </c>
      <c r="F12" s="4">
        <f>IF(B12,((D12-E12)/60*100)," ")</f>
        <v>0.33333333333331439</v>
      </c>
      <c r="G12" s="4">
        <f>IF(B12,C12*COS(PI()/180*(E12+F12))," ")</f>
        <v>7.6445871588708814</v>
      </c>
      <c r="H12" s="4">
        <f>IF(B12,(C12*SIN(PI()/180*(E12+F12)))," ")</f>
        <v>-20.629112612287191</v>
      </c>
      <c r="I12" s="4">
        <f>SUM(G12:G34)/D6</f>
        <v>31.623978571821432</v>
      </c>
      <c r="J12" s="4">
        <f>SUM(H12:H35)/D6</f>
        <v>-17.198034308121063</v>
      </c>
      <c r="K12" s="4">
        <f>IF(B12,SUM(G12,-$I$12)," ")</f>
        <v>-23.979391412950552</v>
      </c>
      <c r="L12" s="4">
        <f>IF(B12,SUM(H12,-$J$12)," ")</f>
        <v>-3.4310783041661281</v>
      </c>
      <c r="M12" s="4">
        <f>IF(B12,POWER(K12,2)," ")</f>
        <v>575.01121253548661</v>
      </c>
      <c r="N12" s="4">
        <f>IF(B12,POWER(L12,2)," ")</f>
        <v>11.772298329319513</v>
      </c>
      <c r="O12" s="4">
        <f>D6-1</f>
        <v>22</v>
      </c>
      <c r="P12" s="4">
        <f>SUM(M12:M35)</f>
        <v>21661.376162430701</v>
      </c>
      <c r="Q12" s="4">
        <f>SUM(N12:N35)</f>
        <v>1910.1105277596967</v>
      </c>
      <c r="R12" s="4">
        <f>PRODUCT(P12,1/$O$12)</f>
        <v>984.6080073832137</v>
      </c>
      <c r="S12" s="4">
        <f>PRODUCT(Q12,1/$O$12)</f>
        <v>86.823205807258944</v>
      </c>
      <c r="T12" s="4">
        <f>SQRT(R12)</f>
        <v>31.378464069855518</v>
      </c>
      <c r="U12" s="4">
        <f>SQRT(S12)</f>
        <v>9.3178970700077457</v>
      </c>
      <c r="V12" s="4">
        <f>PRODUCT(T12:U12)</f>
        <v>292.38129841785008</v>
      </c>
      <c r="W12" s="10">
        <f>SQRT(V12)</f>
        <v>17.099160751857095</v>
      </c>
    </row>
    <row r="13" spans="1:23">
      <c r="A13" s="3">
        <v>2</v>
      </c>
      <c r="B13" s="25">
        <v>259.39999999999998</v>
      </c>
      <c r="C13" s="25">
        <v>34</v>
      </c>
      <c r="D13" s="4">
        <f>IF(B13,B13-$C$4," ")</f>
        <v>-10.600000000000023</v>
      </c>
      <c r="E13" s="4">
        <f>IF(B13,INT(D13)," ")</f>
        <v>-11</v>
      </c>
      <c r="F13" s="4">
        <f>IF(B13,((D13-E13)/60*100)," ")</f>
        <v>0.66666666666662877</v>
      </c>
      <c r="G13" s="4">
        <f>IF(B13,C13*COS(PI()/180*(E13+F13))," ")</f>
        <v>33.448548849766993</v>
      </c>
      <c r="H13" s="4">
        <f>IF(B13,(C13*SIN(PI()/180*(E13+F13)))," ")</f>
        <v>-6.0987359218735717</v>
      </c>
      <c r="I13" s="4"/>
      <c r="J13" s="4"/>
      <c r="K13" s="4">
        <f t="shared" ref="K13:K35" si="0">IF(B13,SUM(G13,-$I$12)," ")</f>
        <v>1.8245702779455613</v>
      </c>
      <c r="L13" s="4">
        <f t="shared" ref="L13:L35" si="1">IF(B13,SUM(H13,-$J$12)," ")</f>
        <v>11.09929838624749</v>
      </c>
      <c r="M13" s="4">
        <f t="shared" ref="M13:M35" si="2">IF(B13,POWER(K13,2)," ")</f>
        <v>3.3290566991623427</v>
      </c>
      <c r="N13" s="4">
        <f t="shared" ref="N13:N34" si="3">IF(B13,POWER(L13,2)," ")</f>
        <v>123.19442466695614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224.45</v>
      </c>
      <c r="C14" s="25">
        <v>4</v>
      </c>
      <c r="D14" s="4">
        <f>IF(B14,B14-$C$4," ")</f>
        <v>-45.550000000000011</v>
      </c>
      <c r="E14" s="4">
        <f>IF(B14,INT(D14)," ")</f>
        <v>-46</v>
      </c>
      <c r="F14" s="4">
        <f>IF(B14,((D14-E14)/60*100)," ")</f>
        <v>0.74999999999998102</v>
      </c>
      <c r="G14" s="4">
        <f>IF(B14,C14*COS(PI()/180*(E14+F14))," ")</f>
        <v>2.8160588978238725</v>
      </c>
      <c r="H14" s="4">
        <f>IF(B14,(C14*SIN(PI()/180*(E14+F14)))," ")</f>
        <v>-2.8407415024931426</v>
      </c>
      <c r="I14" s="4"/>
      <c r="J14" s="4"/>
      <c r="K14" s="4">
        <f t="shared" si="0"/>
        <v>-28.80791967399756</v>
      </c>
      <c r="L14" s="4">
        <f t="shared" si="1"/>
        <v>14.357292805627921</v>
      </c>
      <c r="M14" s="4">
        <f t="shared" si="2"/>
        <v>829.89623594349564</v>
      </c>
      <c r="N14" s="4">
        <f t="shared" si="3"/>
        <v>206.13185670653525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88.25</v>
      </c>
      <c r="C15" s="25">
        <v>16</v>
      </c>
      <c r="D15" s="4">
        <f>IF(B15,B15-$C$4," ")</f>
        <v>-181.75</v>
      </c>
      <c r="E15" s="4">
        <f>IF(B15,INT(D15)," ")</f>
        <v>-182</v>
      </c>
      <c r="F15" s="4">
        <f>IF(B15,((D15-E15)/60*100)," ")</f>
        <v>0.41666666666666669</v>
      </c>
      <c r="G15" s="4">
        <f>IF(B15,C15*COS(PI()/180*(E15+F15))," ")</f>
        <v>-15.993891117187708</v>
      </c>
      <c r="H15" s="4">
        <f>IF(B15,(C15*SIN(PI()/180*(E15+F15)))," ")</f>
        <v>0.44209380401013759</v>
      </c>
      <c r="I15" s="4"/>
      <c r="J15" s="4"/>
      <c r="K15" s="4">
        <f t="shared" si="0"/>
        <v>-47.61786968900914</v>
      </c>
      <c r="L15" s="4">
        <f t="shared" si="1"/>
        <v>17.640128112131201</v>
      </c>
      <c r="M15" s="4">
        <f t="shared" si="2"/>
        <v>2267.4615137194555</v>
      </c>
      <c r="N15" s="4">
        <f t="shared" si="3"/>
        <v>311.1741198124015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281.14999999999998</v>
      </c>
      <c r="C16" s="25">
        <v>22</v>
      </c>
      <c r="D16" s="4">
        <f>IF(B16,B16-$C$4," ")</f>
        <v>11.149999999999977</v>
      </c>
      <c r="E16" s="4">
        <f>IF(B16,INT(D16)," ")</f>
        <v>11</v>
      </c>
      <c r="F16" s="4">
        <f>IF(B16,((D16-E16)/60*100)," ")</f>
        <v>0.24999999999996211</v>
      </c>
      <c r="G16" s="4">
        <f>IF(B16,C16*COS(PI()/180*(E16+F16))," ")</f>
        <v>21.577276168871073</v>
      </c>
      <c r="H16" s="4">
        <f>IF(B16,(C16*SIN(PI()/180*(E16+F16)))," ")</f>
        <v>4.2919870843548082</v>
      </c>
      <c r="I16" s="4"/>
      <c r="J16" s="4"/>
      <c r="K16" s="4">
        <f t="shared" si="0"/>
        <v>-10.046702402950359</v>
      </c>
      <c r="L16" s="4">
        <f t="shared" si="1"/>
        <v>21.490021392475871</v>
      </c>
      <c r="M16" s="4">
        <f t="shared" si="2"/>
        <v>100.93622917344852</v>
      </c>
      <c r="N16" s="4">
        <f t="shared" si="3"/>
        <v>461.82101944907055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156.35</v>
      </c>
      <c r="C17" s="25">
        <v>32</v>
      </c>
      <c r="D17" s="4">
        <f>IF(B17,B17-$C$4," ")</f>
        <v>-113.65</v>
      </c>
      <c r="E17" s="4">
        <f>IF(B17,INT(D17)," ")</f>
        <v>-114</v>
      </c>
      <c r="F17" s="4">
        <f>IF(B17,((D17-E17)/60*100)," ")</f>
        <v>0.58333333333332382</v>
      </c>
      <c r="G17" s="4">
        <f>IF(B17,C17*COS(PI()/180*(E17+F17))," ")</f>
        <v>-12.717274810481685</v>
      </c>
      <c r="H17" s="4">
        <f>IF(B17,(C17*SIN(PI()/180*(E17+F17)))," ")</f>
        <v>-29.364449959001242</v>
      </c>
      <c r="I17" s="4"/>
      <c r="J17" s="4"/>
      <c r="K17" s="4">
        <f t="shared" si="0"/>
        <v>-44.341253382303115</v>
      </c>
      <c r="L17" s="4">
        <f t="shared" si="1"/>
        <v>-12.166415650880179</v>
      </c>
      <c r="M17" s="4">
        <f t="shared" si="2"/>
        <v>1966.1467515136076</v>
      </c>
      <c r="N17" s="4">
        <f t="shared" si="3"/>
        <v>148.02166978998216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247.25</v>
      </c>
      <c r="C18" s="25">
        <v>72</v>
      </c>
      <c r="D18" s="4">
        <f>IF(B18,B18-$C$4," ")</f>
        <v>-22.75</v>
      </c>
      <c r="E18" s="4">
        <f>IF(B18,INT(D18)," ")</f>
        <v>-23</v>
      </c>
      <c r="F18" s="4">
        <f>IF(B18,((D18-E18)/60*100)," ")</f>
        <v>0.41666666666666669</v>
      </c>
      <c r="G18" s="4">
        <f>IF(B18,C18*COS(PI()/180*(E18+F18))," ")</f>
        <v>66.479181482178518</v>
      </c>
      <c r="H18" s="4">
        <f>IF(B18,(C18*SIN(PI()/180*(E18+F18)))," ")</f>
        <v>-27.649926391576052</v>
      </c>
      <c r="I18" s="4"/>
      <c r="J18" s="4"/>
      <c r="K18" s="4">
        <f t="shared" si="0"/>
        <v>34.855202910357086</v>
      </c>
      <c r="L18" s="4">
        <f t="shared" si="1"/>
        <v>-10.45189208345499</v>
      </c>
      <c r="M18" s="4">
        <f t="shared" si="2"/>
        <v>1214.885169922165</v>
      </c>
      <c r="N18" s="4">
        <f t="shared" si="3"/>
        <v>109.24204812418908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248.55</v>
      </c>
      <c r="C19" s="25">
        <v>76</v>
      </c>
      <c r="D19" s="4">
        <f>IF(B19,B19-$C$4," ")</f>
        <v>-21.449999999999989</v>
      </c>
      <c r="E19" s="4">
        <f>IF(B19,INT(D19)," ")</f>
        <v>-22</v>
      </c>
      <c r="F19" s="4">
        <f>IF(B19,((D19-E19)/60*100)," ")</f>
        <v>0.91666666666668561</v>
      </c>
      <c r="G19" s="4">
        <f>IF(B19,C19*COS(PI()/180*(E19+F19))," ")</f>
        <v>70.912424277625078</v>
      </c>
      <c r="H19" s="4">
        <f>IF(B19,(C19*SIN(PI()/180*(E19+F19)))," ")</f>
        <v>-27.33913098600777</v>
      </c>
      <c r="I19" s="4"/>
      <c r="J19" s="4"/>
      <c r="K19" s="4">
        <f t="shared" si="0"/>
        <v>39.288445705803646</v>
      </c>
      <c r="L19" s="4">
        <f t="shared" si="1"/>
        <v>-10.141096677886708</v>
      </c>
      <c r="M19" s="4">
        <f t="shared" si="2"/>
        <v>1543.5819659778811</v>
      </c>
      <c r="N19" s="4">
        <f t="shared" si="3"/>
        <v>102.84184183024482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151.4</v>
      </c>
      <c r="C20" s="25">
        <v>30</v>
      </c>
      <c r="D20" s="4">
        <f>IF(B20,B20-$C$4," ")</f>
        <v>-118.6</v>
      </c>
      <c r="E20" s="4">
        <f>IF(B20,INT(D20)," ")</f>
        <v>-119</v>
      </c>
      <c r="F20" s="4">
        <f>IF(B20,((D20-E20)/60*100)," ")</f>
        <v>0.66666666666667618</v>
      </c>
      <c r="G20" s="4">
        <f>IF(B20,C20*COS(PI()/180*(E20+F20))," ")</f>
        <v>-14.238011092429215</v>
      </c>
      <c r="H20" s="4">
        <f>IF(B20,(C20*SIN(PI()/180*(E20+F20)))," ")</f>
        <v>-26.406041735403331</v>
      </c>
      <c r="I20" s="4"/>
      <c r="J20" s="4"/>
      <c r="K20" s="4">
        <f t="shared" si="0"/>
        <v>-45.861989664250643</v>
      </c>
      <c r="L20" s="4">
        <f t="shared" si="1"/>
        <v>-9.2080074272822685</v>
      </c>
      <c r="M20" s="4">
        <f t="shared" si="2"/>
        <v>2103.3220959638329</v>
      </c>
      <c r="N20" s="4">
        <f t="shared" si="3"/>
        <v>84.78740078088542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245.1</v>
      </c>
      <c r="C21" s="25">
        <v>62</v>
      </c>
      <c r="D21" s="4">
        <f>IF(B21,B21-$C$4," ")</f>
        <v>-24.900000000000006</v>
      </c>
      <c r="E21" s="4">
        <f>IF(B21,INT(D21)," ")</f>
        <v>-25</v>
      </c>
      <c r="F21" s="4">
        <f>IF(B21,((D21-E21)/60*100)," ")</f>
        <v>0.16666666666665719</v>
      </c>
      <c r="G21" s="4">
        <f>IF(B21,C21*COS(PI()/180*(E21+F21))," ")</f>
        <v>56.267064450704218</v>
      </c>
      <c r="H21" s="4">
        <f>IF(B21,(C21*SIN(PI()/180*(E21+F21)))," ")</f>
        <v>-26.038768367576402</v>
      </c>
      <c r="I21" s="4"/>
      <c r="J21" s="4"/>
      <c r="K21" s="4">
        <f t="shared" si="0"/>
        <v>24.643085878882786</v>
      </c>
      <c r="L21" s="4">
        <f t="shared" si="1"/>
        <v>-8.8407340594553396</v>
      </c>
      <c r="M21" s="4">
        <f t="shared" si="2"/>
        <v>607.28168163399221</v>
      </c>
      <c r="N21" s="4">
        <f t="shared" si="3"/>
        <v>78.158578710013686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246.35</v>
      </c>
      <c r="C22" s="25">
        <v>64</v>
      </c>
      <c r="D22" s="4">
        <f>IF(B22,B22-$C$4," ")</f>
        <v>-23.650000000000006</v>
      </c>
      <c r="E22" s="4">
        <f>IF(B22,INT(D22)," ")</f>
        <v>-24</v>
      </c>
      <c r="F22" s="4">
        <f>IF(B22,((D22-E22)/60*100)," ")</f>
        <v>0.58333333333332382</v>
      </c>
      <c r="G22" s="4">
        <f>IF(B22,C22*COS(PI()/180*(E22+F22))," ")</f>
        <v>58.728899918002476</v>
      </c>
      <c r="H22" s="4">
        <f>IF(B22,(C22*SIN(PI()/180*(E22+F22)))," ")</f>
        <v>-25.434549620963381</v>
      </c>
      <c r="I22" s="4"/>
      <c r="J22" s="4"/>
      <c r="K22" s="4">
        <f t="shared" si="0"/>
        <v>27.104921346181044</v>
      </c>
      <c r="L22" s="4">
        <f t="shared" si="1"/>
        <v>-8.2365153128423181</v>
      </c>
      <c r="M22" s="4">
        <f t="shared" si="2"/>
        <v>734.67676118266081</v>
      </c>
      <c r="N22" s="4">
        <f t="shared" si="3"/>
        <v>67.840184498685986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227.3</v>
      </c>
      <c r="C23" s="25">
        <v>36</v>
      </c>
      <c r="D23" s="4">
        <f>IF(B23,B23-$C$4," ")</f>
        <v>-42.699999999999989</v>
      </c>
      <c r="E23" s="4">
        <f>IF(B23,INT(D23)," ")</f>
        <v>-43</v>
      </c>
      <c r="F23" s="4">
        <f>IF(B23,((D23-E23)/60*100)," ")</f>
        <v>0.50000000000001887</v>
      </c>
      <c r="G23" s="4">
        <f>IF(B23,C23*COS(PI()/180*(E23+F23))," ")</f>
        <v>26.541984125164475</v>
      </c>
      <c r="H23" s="4">
        <f>IF(B23,(C23*SIN(PI()/180*(E23+F23)))," ")</f>
        <v>-24.321247474163755</v>
      </c>
      <c r="I23" s="4"/>
      <c r="J23" s="4"/>
      <c r="K23" s="4">
        <f t="shared" si="0"/>
        <v>-5.0819944466569567</v>
      </c>
      <c r="L23" s="4">
        <f t="shared" si="1"/>
        <v>-7.1232131660426923</v>
      </c>
      <c r="M23" s="4">
        <f t="shared" si="2"/>
        <v>25.826667555852147</v>
      </c>
      <c r="N23" s="4">
        <f t="shared" si="3"/>
        <v>50.740165808883958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233.5</v>
      </c>
      <c r="C24" s="25">
        <v>40</v>
      </c>
      <c r="D24" s="4">
        <f>IF(B24,B24-$C$4," ")</f>
        <v>-36.5</v>
      </c>
      <c r="E24" s="4">
        <f>IF(B24,INT(D24)," ")</f>
        <v>-37</v>
      </c>
      <c r="F24" s="4">
        <f>IF(B24,((D24-E24)/60*100)," ")</f>
        <v>0.83333333333333337</v>
      </c>
      <c r="G24" s="4">
        <f>IF(B24,C24*COS(PI()/180*(E24+F24))," ")</f>
        <v>32.292151040414396</v>
      </c>
      <c r="H24" s="4">
        <f>IF(B24,(C24*SIN(PI()/180*(E24+F24)))," ")</f>
        <v>-23.605443888710575</v>
      </c>
      <c r="I24" s="4"/>
      <c r="J24" s="4"/>
      <c r="K24" s="4">
        <f t="shared" si="0"/>
        <v>0.66817246859296375</v>
      </c>
      <c r="L24" s="4">
        <f t="shared" si="1"/>
        <v>-6.4074095805895119</v>
      </c>
      <c r="M24" s="4">
        <f t="shared" si="2"/>
        <v>0.44645444778561516</v>
      </c>
      <c r="N24" s="4">
        <f t="shared" si="3"/>
        <v>41.054897533430264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253</v>
      </c>
      <c r="C25" s="25">
        <v>74</v>
      </c>
      <c r="D25" s="4">
        <f>IF(B25,B25-$C$4," ")</f>
        <v>-17</v>
      </c>
      <c r="E25" s="4">
        <f>IF(B25,INT(D25)," ")</f>
        <v>-17</v>
      </c>
      <c r="F25" s="4">
        <f>IF(B25,((D25-E25)/60*100)," ")</f>
        <v>0</v>
      </c>
      <c r="G25" s="4">
        <f>IF(B25,C25*COS(PI()/180*(E25+F25))," ")</f>
        <v>70.766551941264623</v>
      </c>
      <c r="H25" s="4">
        <f>IF(B25,(C25*SIN(PI()/180*(E25+F25)))," ")</f>
        <v>-21.63550614948252</v>
      </c>
      <c r="I25" s="4"/>
      <c r="J25" s="4"/>
      <c r="K25" s="4">
        <f t="shared" si="0"/>
        <v>39.142573369443191</v>
      </c>
      <c r="L25" s="4">
        <f t="shared" si="1"/>
        <v>-4.4374718413614573</v>
      </c>
      <c r="M25" s="4">
        <f t="shared" si="2"/>
        <v>1532.1410499822432</v>
      </c>
      <c r="N25" s="4">
        <f t="shared" si="3"/>
        <v>19.691156342875843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243.15</v>
      </c>
      <c r="C26" s="25">
        <v>44</v>
      </c>
      <c r="D26" s="4">
        <f>IF(B26,B26-$C$4," ")</f>
        <v>-26.849999999999994</v>
      </c>
      <c r="E26" s="4">
        <f>IF(B26,INT(D26)," ")</f>
        <v>-27</v>
      </c>
      <c r="F26" s="4">
        <f>IF(B26,((D26-E26)/60*100)," ")</f>
        <v>0.25000000000000944</v>
      </c>
      <c r="G26" s="4">
        <f>IF(B26,C26*COS(PI()/180*(E26+F26))," ")</f>
        <v>39.291073510090037</v>
      </c>
      <c r="H26" s="4">
        <f>IF(B26,(C26*SIN(PI()/180*(E26+F26)))," ")</f>
        <v>-19.804331405647133</v>
      </c>
      <c r="I26" s="4"/>
      <c r="J26" s="4"/>
      <c r="K26" s="4">
        <f t="shared" si="0"/>
        <v>7.6670949382686047</v>
      </c>
      <c r="L26" s="4">
        <f t="shared" si="1"/>
        <v>-2.6062970975260704</v>
      </c>
      <c r="M26" s="4">
        <f t="shared" si="2"/>
        <v>58.784344792424058</v>
      </c>
      <c r="N26" s="4">
        <f t="shared" si="3"/>
        <v>6.7927845605728194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244.4</v>
      </c>
      <c r="C27" s="25">
        <v>42</v>
      </c>
      <c r="D27" s="4">
        <f>IF(B27,B27-$C$4," ")</f>
        <v>-25.599999999999994</v>
      </c>
      <c r="E27" s="4">
        <f>IF(B27,INT(D27)," ")</f>
        <v>-26</v>
      </c>
      <c r="F27" s="4">
        <f>IF(B27,((D27-E27)/60*100)," ")</f>
        <v>0.66666666666667618</v>
      </c>
      <c r="G27" s="4">
        <f>IF(B27,C27*COS(PI()/180*(E27+F27))," ")</f>
        <v>37.961018337837864</v>
      </c>
      <c r="H27" s="4">
        <f>IF(B27,(C27*SIN(PI()/180*(E27+F27)))," ")</f>
        <v>-17.971118127549474</v>
      </c>
      <c r="I27" s="4"/>
      <c r="J27" s="4"/>
      <c r="K27" s="4">
        <f t="shared" si="0"/>
        <v>6.3370397660164315</v>
      </c>
      <c r="L27" s="4">
        <f t="shared" si="1"/>
        <v>-0.77308381942841109</v>
      </c>
      <c r="M27" s="4">
        <f t="shared" si="2"/>
        <v>40.158072996073585</v>
      </c>
      <c r="N27" s="4">
        <f t="shared" si="3"/>
        <v>0.59765859186202008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234.2</v>
      </c>
      <c r="C28" s="25">
        <v>30</v>
      </c>
      <c r="D28" s="4">
        <f>IF(B28,B28-$C$4," ")</f>
        <v>-35.800000000000011</v>
      </c>
      <c r="E28" s="4">
        <f>IF(B28,INT(D28)," ")</f>
        <v>-36</v>
      </c>
      <c r="F28" s="4">
        <f>IF(B28,((D28-E28)/60*100)," ")</f>
        <v>0.33333333333331439</v>
      </c>
      <c r="G28" s="4">
        <f>IF(B28,C28*COS(PI()/180*(E28+F28))," ")</f>
        <v>24.372686398725868</v>
      </c>
      <c r="H28" s="4">
        <f>IF(B28,(C28*SIN(PI()/180*(E28+F28)))," ")</f>
        <v>-17.49205984752405</v>
      </c>
      <c r="I28" s="4"/>
      <c r="J28" s="4"/>
      <c r="K28" s="4">
        <f t="shared" si="0"/>
        <v>-7.251292173095564</v>
      </c>
      <c r="L28" s="4">
        <f t="shared" si="1"/>
        <v>-0.29402553940298759</v>
      </c>
      <c r="M28" s="4">
        <f t="shared" si="2"/>
        <v>52.581238179596987</v>
      </c>
      <c r="N28" s="4">
        <f t="shared" si="3"/>
        <v>8.6451017821217807E-2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253.35</v>
      </c>
      <c r="C29" s="25">
        <v>58</v>
      </c>
      <c r="D29" s="4">
        <f>IF(B29,B29-$C$4," ")</f>
        <v>-16.650000000000006</v>
      </c>
      <c r="E29" s="4">
        <f>IF(B29,INT(D29)," ")</f>
        <v>-17</v>
      </c>
      <c r="F29" s="4">
        <f>IF(B29,((D29-E29)/60*100)," ")</f>
        <v>0.58333333333332382</v>
      </c>
      <c r="G29" s="4">
        <f>IF(B29,C29*COS(PI()/180*(E29+F29))," ")</f>
        <v>55.635444640930331</v>
      </c>
      <c r="H29" s="4">
        <f>IF(B29,(C29*SIN(PI()/180*(E29+F29)))," ")</f>
        <v>-16.39198888500038</v>
      </c>
      <c r="I29" s="4"/>
      <c r="J29" s="4"/>
      <c r="K29" s="4">
        <f t="shared" si="0"/>
        <v>24.011466069108899</v>
      </c>
      <c r="L29" s="4">
        <f t="shared" si="1"/>
        <v>0.80604542312068261</v>
      </c>
      <c r="M29" s="4">
        <f t="shared" si="2"/>
        <v>576.55050278796796</v>
      </c>
      <c r="N29" s="4">
        <f t="shared" si="3"/>
        <v>0.64970922413380028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136.19999999999999</v>
      </c>
      <c r="C30" s="25">
        <v>22</v>
      </c>
      <c r="D30" s="4">
        <f>IF(B30,B30-$C$4," ")</f>
        <v>-133.80000000000001</v>
      </c>
      <c r="E30" s="4">
        <f>IF(B30,INT(D30)," ")</f>
        <v>-134</v>
      </c>
      <c r="F30" s="4">
        <f>IF(B30,((D30-E30)/60*100)," ")</f>
        <v>0.33333333333331439</v>
      </c>
      <c r="G30" s="4">
        <f>IF(B30,C30*COS(PI()/180*(E30+F30))," ")</f>
        <v>-15.190157156795493</v>
      </c>
      <c r="H30" s="4">
        <f>IF(B30,(C30*SIN(PI()/180*(E30+F30)))," ")</f>
        <v>-15.914117177897571</v>
      </c>
      <c r="I30" s="4"/>
      <c r="J30" s="4"/>
      <c r="K30" s="4">
        <f t="shared" si="0"/>
        <v>-46.814135728616925</v>
      </c>
      <c r="L30" s="4">
        <f t="shared" si="1"/>
        <v>1.2839171302234913</v>
      </c>
      <c r="M30" s="4">
        <f t="shared" si="2"/>
        <v>2191.563304017368</v>
      </c>
      <c r="N30" s="4">
        <f t="shared" si="3"/>
        <v>1.6484431972813256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258.10000000000002</v>
      </c>
      <c r="C31" s="25">
        <v>74</v>
      </c>
      <c r="D31" s="4">
        <f>IF(B31,B31-$C$4," ")</f>
        <v>-11.899999999999977</v>
      </c>
      <c r="E31" s="4">
        <f>IF(B31,INT(D31)," ")</f>
        <v>-12</v>
      </c>
      <c r="F31" s="4">
        <f>IF(B31,((D31-E31)/60*100)," ")</f>
        <v>0.16666666666670457</v>
      </c>
      <c r="G31" s="4">
        <f>IF(B31,C31*COS(PI()/180*(E31+F31))," ")</f>
        <v>72.427370657798647</v>
      </c>
      <c r="H31" s="4">
        <f>IF(B31,(C31*SIN(PI()/180*(E31+F31)))," ")</f>
        <v>-15.174846938201624</v>
      </c>
      <c r="I31" s="4"/>
      <c r="J31" s="4"/>
      <c r="K31" s="4">
        <f t="shared" si="0"/>
        <v>40.803392085977215</v>
      </c>
      <c r="L31" s="4">
        <f t="shared" si="1"/>
        <v>2.0231873699194391</v>
      </c>
      <c r="M31" s="4">
        <f t="shared" si="2"/>
        <v>1664.9168057219881</v>
      </c>
      <c r="N31" s="4">
        <f t="shared" si="3"/>
        <v>4.0932871338015371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256</v>
      </c>
      <c r="C32" s="25">
        <v>52</v>
      </c>
      <c r="D32" s="4">
        <f>IF(B32,B32-$C$4," ")</f>
        <v>-14</v>
      </c>
      <c r="E32" s="4">
        <f>IF(B32,INT(D32)," ")</f>
        <v>-14</v>
      </c>
      <c r="F32" s="4">
        <f>IF(B32,((D32-E32)/60*100)," ")</f>
        <v>0</v>
      </c>
      <c r="G32" s="4">
        <f>IF(B32,C32*COS(PI()/180*(E32+F32))," ")</f>
        <v>50.455377766351816</v>
      </c>
      <c r="H32" s="4">
        <f>IF(B32,(C32*SIN(PI()/180*(E32+F32)))," ")</f>
        <v>-12.579938571182723</v>
      </c>
      <c r="I32" s="4"/>
      <c r="J32" s="4"/>
      <c r="K32" s="4">
        <f t="shared" si="0"/>
        <v>18.831399194530384</v>
      </c>
      <c r="L32" s="4">
        <f t="shared" si="1"/>
        <v>4.61809573693834</v>
      </c>
      <c r="M32" s="4">
        <f t="shared" si="2"/>
        <v>354.62159562375962</v>
      </c>
      <c r="N32" s="4">
        <f t="shared" si="3"/>
        <v>21.32680823552807</v>
      </c>
      <c r="O32" s="4"/>
      <c r="P32" s="4"/>
      <c r="Q32" s="4"/>
      <c r="R32" s="4"/>
      <c r="S32" s="4"/>
      <c r="T32" s="4"/>
      <c r="U32" s="4"/>
      <c r="V32" s="4"/>
      <c r="W32" s="5"/>
    </row>
    <row r="33" spans="1:28">
      <c r="A33" s="3">
        <v>22</v>
      </c>
      <c r="B33" s="25">
        <v>260.05</v>
      </c>
      <c r="C33" s="25">
        <v>70</v>
      </c>
      <c r="D33" s="4">
        <f>IF(B33,B33-$C$4," ")</f>
        <v>-9.9499999999999886</v>
      </c>
      <c r="E33" s="4">
        <f>IF(B33,INT(D33)," ")</f>
        <v>-10</v>
      </c>
      <c r="F33" s="4">
        <f>IF(B33,((D33-E33)/60*100)," ")</f>
        <v>8.3333333333352286E-2</v>
      </c>
      <c r="G33" s="4">
        <f>IF(B33,C33*COS(PI()/180*(E33+F33))," ")</f>
        <v>68.954149063065074</v>
      </c>
      <c r="H33" s="4">
        <f>IF(B33,(C33*SIN(PI()/180*(E33+F33)))," ")</f>
        <v>-12.055095478203473</v>
      </c>
      <c r="I33" s="4"/>
      <c r="J33" s="4"/>
      <c r="K33" s="4">
        <f t="shared" si="0"/>
        <v>37.330170491243642</v>
      </c>
      <c r="L33" s="4">
        <f t="shared" si="1"/>
        <v>5.1429388299175898</v>
      </c>
      <c r="M33" s="4">
        <f t="shared" si="2"/>
        <v>1393.5416289053176</v>
      </c>
      <c r="N33" s="4">
        <f t="shared" si="3"/>
        <v>26.449819808274107</v>
      </c>
      <c r="O33" s="4"/>
      <c r="P33" s="4"/>
      <c r="Q33" s="4"/>
      <c r="R33" s="4"/>
      <c r="S33" s="4"/>
      <c r="T33" s="4"/>
      <c r="U33" s="4"/>
      <c r="V33" s="4"/>
      <c r="W33" s="5"/>
    </row>
    <row r="34" spans="1:28" ht="15.75" thickBot="1">
      <c r="A34" s="3">
        <v>23</v>
      </c>
      <c r="B34" s="26">
        <v>136.1</v>
      </c>
      <c r="C34" s="26">
        <v>16</v>
      </c>
      <c r="D34" s="4">
        <f>IF(B34,B34-$C$4," ")</f>
        <v>-133.9</v>
      </c>
      <c r="E34" s="4">
        <f>IF(B34,INT(D34)," ")</f>
        <v>-134</v>
      </c>
      <c r="F34" s="4">
        <f>IF(B34,((D34-E34)/60*100)," ")</f>
        <v>0.16666666666665719</v>
      </c>
      <c r="G34" s="4">
        <f>IF(B34,C34*COS(PI()/180*(E34+F34))," ")</f>
        <v>-11.081007356699109</v>
      </c>
      <c r="H34" s="4">
        <f>IF(B34,(C34*SIN(PI()/180*(E34+F34)))," ")</f>
        <v>-11.541718934404019</v>
      </c>
      <c r="I34" s="4"/>
      <c r="J34" s="4"/>
      <c r="K34" s="4">
        <f>IF(B34,SUM(G34,-$I$12)," ")</f>
        <v>-42.704985928520543</v>
      </c>
      <c r="L34" s="4">
        <f t="shared" si="1"/>
        <v>5.6563153737170442</v>
      </c>
      <c r="M34" s="4">
        <f t="shared" si="2"/>
        <v>1823.7158231551375</v>
      </c>
      <c r="N34" s="4">
        <f t="shared" si="3"/>
        <v>31.993903606947786</v>
      </c>
      <c r="O34" s="4"/>
      <c r="P34" s="4"/>
      <c r="Q34" s="4"/>
      <c r="R34" s="4"/>
      <c r="S34" s="4"/>
      <c r="T34" s="4"/>
      <c r="U34" s="4"/>
      <c r="V34" s="4"/>
      <c r="W34" s="5"/>
    </row>
    <row r="35" spans="1:28" ht="15.75" customHeight="1" thickBot="1">
      <c r="A35" s="6">
        <v>24</v>
      </c>
      <c r="B35" s="26"/>
      <c r="C35" s="26"/>
      <c r="D35" s="7" t="str">
        <f>IF(B35,B35-$C$4," ")</f>
        <v xml:space="preserve"> </v>
      </c>
      <c r="E35" s="7" t="str">
        <f>IF(B35,INT(D35)," ")</f>
        <v xml:space="preserve"> </v>
      </c>
      <c r="F35" s="7" t="str">
        <f>IF(B35,((D35-E35)/60*100)," ")</f>
        <v xml:space="preserve"> </v>
      </c>
      <c r="G35" s="7" t="str">
        <f>IF(B35,C35*COS(PI()/180*(E35+F35))," ")</f>
        <v xml:space="preserve"> </v>
      </c>
      <c r="H35" s="7" t="str">
        <f>IF(B35,(C35*SIN(PI()/180*(E35+F35)))," ")</f>
        <v xml:space="preserve"> </v>
      </c>
      <c r="I35" s="7"/>
      <c r="J35" s="7"/>
      <c r="K35" s="7" t="str">
        <f t="shared" si="0"/>
        <v xml:space="preserve"> </v>
      </c>
      <c r="L35" s="7" t="str">
        <f t="shared" si="1"/>
        <v xml:space="preserve"> </v>
      </c>
      <c r="M35" s="7" t="str">
        <f t="shared" si="2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8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8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8">
      <c r="A38" s="3">
        <v>1</v>
      </c>
      <c r="B38" s="25">
        <v>227.35</v>
      </c>
      <c r="C38" s="25">
        <v>96</v>
      </c>
      <c r="D38" s="4">
        <f>IF(B38,B38-$C$4," ")</f>
        <v>-42.650000000000006</v>
      </c>
      <c r="E38" s="4">
        <f>IF(B38,INT(D38)," ")</f>
        <v>-43</v>
      </c>
      <c r="F38" s="4">
        <f>IF(B38,((D38-E38)/60*100)," ")</f>
        <v>0.58333333333332382</v>
      </c>
      <c r="G38" s="4">
        <f>IF(B38,C38*COS(PI()/180*(E38+F38))," ")</f>
        <v>70.872879626157783</v>
      </c>
      <c r="H38" s="4">
        <f>IF(B38,(C38*SIN(PI()/180*(E38+F38)))," ")</f>
        <v>-64.753648032339854</v>
      </c>
      <c r="I38" s="4">
        <f>SUM(G38:G59)/E6</f>
        <v>55.259485143548822</v>
      </c>
      <c r="J38" s="4">
        <f>SUM(H38:H59)/E6</f>
        <v>-42.435490104770032</v>
      </c>
      <c r="K38" s="4">
        <f t="shared" ref="K38:K61" si="4">IF(B38,SUM(G38,-$I$12)," ")</f>
        <v>39.248901054336351</v>
      </c>
      <c r="L38" s="4">
        <f t="shared" ref="L38:L61" si="5">IF(B38,SUM(H38,-$J$12)," ")</f>
        <v>-47.555613724218787</v>
      </c>
      <c r="M38" s="4">
        <f t="shared" ref="M38:M61" si="6">IF(B38,POWER(K38,2)," ")</f>
        <v>1540.4762339730851</v>
      </c>
      <c r="N38" s="4">
        <f t="shared" ref="N38:N61" si="7">IF(B38,POWER(L38,2)," ")</f>
        <v>2261.5363966871064</v>
      </c>
      <c r="O38" s="4">
        <f>E6-1</f>
        <v>21</v>
      </c>
      <c r="P38" s="4">
        <f>SUM(M38:M61)</f>
        <v>27850.086680866643</v>
      </c>
      <c r="Q38" s="4">
        <f>SUM(N38:N61)</f>
        <v>16676.979518146065</v>
      </c>
      <c r="R38" s="4">
        <f>PRODUCT(P38,1/$O$38)</f>
        <v>1326.1946038507924</v>
      </c>
      <c r="S38" s="4">
        <f>PRODUCT(Q38,1/$O$38)</f>
        <v>794.14188181647921</v>
      </c>
      <c r="T38" s="4">
        <f>SQRT(R38)</f>
        <v>36.416954895361478</v>
      </c>
      <c r="U38" s="4">
        <f>SQRT(S38)</f>
        <v>28.180523093379215</v>
      </c>
      <c r="V38" s="4">
        <f>PRODUCT(T38:U38)</f>
        <v>1026.2488384192834</v>
      </c>
      <c r="W38" s="10">
        <f>SQRT(V38)</f>
        <v>32.035118829485924</v>
      </c>
      <c r="AA38" s="25"/>
      <c r="AB38" s="25"/>
    </row>
    <row r="39" spans="1:28">
      <c r="A39" s="3">
        <v>2</v>
      </c>
      <c r="B39" s="25">
        <v>222.4</v>
      </c>
      <c r="C39" s="25">
        <v>84</v>
      </c>
      <c r="D39" s="4">
        <f>IF(B39,B39-$C$4," ")</f>
        <v>-47.599999999999994</v>
      </c>
      <c r="E39" s="4">
        <f>IF(B39,INT(D39)," ")</f>
        <v>-48</v>
      </c>
      <c r="F39" s="4">
        <f>IF(B39,((D39-E39)/60*100)," ")</f>
        <v>0.66666666666667618</v>
      </c>
      <c r="G39" s="4">
        <f>IF(B39,C39*COS(PI()/180*(E39+F39))," ")</f>
        <v>56.929487928241528</v>
      </c>
      <c r="H39" s="4">
        <f>IF(B39,(C39*SIN(PI()/180*(E39+F39)))," ")</f>
        <v>-61.765956677025592</v>
      </c>
      <c r="I39" s="4"/>
      <c r="J39" s="4"/>
      <c r="K39" s="4">
        <f t="shared" si="4"/>
        <v>25.305509356420096</v>
      </c>
      <c r="L39" s="4">
        <f t="shared" si="5"/>
        <v>-44.567922368904533</v>
      </c>
      <c r="M39" s="4">
        <f t="shared" si="6"/>
        <v>640.36880378786498</v>
      </c>
      <c r="N39" s="4">
        <f t="shared" si="7"/>
        <v>1986.299704280701</v>
      </c>
      <c r="O39" s="4"/>
      <c r="P39" s="4"/>
      <c r="Q39" s="4"/>
      <c r="R39" s="4"/>
      <c r="S39" s="4"/>
      <c r="T39" s="4"/>
      <c r="U39" s="4"/>
      <c r="V39" s="4"/>
      <c r="W39" s="5"/>
      <c r="AA39" s="25"/>
      <c r="AB39" s="25"/>
    </row>
    <row r="40" spans="1:28">
      <c r="A40" s="3">
        <v>3</v>
      </c>
      <c r="B40" s="25">
        <v>226.05</v>
      </c>
      <c r="C40" s="25">
        <v>88</v>
      </c>
      <c r="D40" s="4">
        <f>IF(B40,B40-$C$4," ")</f>
        <v>-43.949999999999989</v>
      </c>
      <c r="E40" s="4">
        <f>IF(B40,INT(D40)," ")</f>
        <v>-44</v>
      </c>
      <c r="F40" s="4">
        <f>IF(B40,((D40-E40)/60*100)," ")</f>
        <v>8.3333333333352286E-2</v>
      </c>
      <c r="G40" s="4">
        <f>IF(B40,C40*COS(PI()/180*(E40+F40))," ")</f>
        <v>63.390745332851573</v>
      </c>
      <c r="H40" s="4">
        <f>IF(B40,(C40*SIN(PI()/180*(E40+F40)))," ")</f>
        <v>-61.037803090753165</v>
      </c>
      <c r="I40" s="4"/>
      <c r="J40" s="4"/>
      <c r="K40" s="4">
        <f t="shared" si="4"/>
        <v>31.766766761030141</v>
      </c>
      <c r="L40" s="4">
        <f t="shared" si="5"/>
        <v>-43.839768782632106</v>
      </c>
      <c r="M40" s="4">
        <f t="shared" si="6"/>
        <v>1009.1274704496893</v>
      </c>
      <c r="N40" s="4">
        <f t="shared" si="7"/>
        <v>1921.9253269146445</v>
      </c>
      <c r="O40" s="4"/>
      <c r="P40" s="4"/>
      <c r="Q40" s="4"/>
      <c r="R40" s="4"/>
      <c r="S40" s="4"/>
      <c r="T40" s="4"/>
      <c r="U40" s="4"/>
      <c r="V40" s="4"/>
      <c r="W40" s="5"/>
      <c r="AA40" s="25"/>
      <c r="AB40" s="25"/>
    </row>
    <row r="41" spans="1:28">
      <c r="A41" s="3">
        <v>4</v>
      </c>
      <c r="B41" s="25">
        <v>197.55</v>
      </c>
      <c r="C41" s="25">
        <v>58</v>
      </c>
      <c r="D41" s="4">
        <f>IF(B41,B41-$C$4," ")</f>
        <v>-72.449999999999989</v>
      </c>
      <c r="E41" s="4">
        <f>IF(B41,INT(D41)," ")</f>
        <v>-73</v>
      </c>
      <c r="F41" s="4">
        <f>IF(B41,((D41-E41)/60*100)," ")</f>
        <v>0.91666666666668561</v>
      </c>
      <c r="G41" s="4">
        <f>IF(B41,C41*COS(PI()/180*(E41+F41))," ")</f>
        <v>17.842737918259729</v>
      </c>
      <c r="H41" s="4">
        <f>IF(B41,(C41*SIN(PI()/180*(E41+F41)))," ")</f>
        <v>-55.187287517872228</v>
      </c>
      <c r="I41" s="4"/>
      <c r="J41" s="4"/>
      <c r="K41" s="4">
        <f t="shared" si="4"/>
        <v>-13.781240653561703</v>
      </c>
      <c r="L41" s="4">
        <f t="shared" si="5"/>
        <v>-37.989253209751169</v>
      </c>
      <c r="M41" s="4">
        <f t="shared" si="6"/>
        <v>189.9225939513818</v>
      </c>
      <c r="N41" s="4">
        <f t="shared" si="7"/>
        <v>1443.1833594345894</v>
      </c>
      <c r="O41" s="4"/>
      <c r="P41" s="4"/>
      <c r="Q41" s="4"/>
      <c r="R41" s="4"/>
      <c r="S41" s="4"/>
      <c r="T41" s="4"/>
      <c r="U41" s="4"/>
      <c r="V41" s="4"/>
      <c r="W41" s="5"/>
      <c r="AA41" s="25"/>
      <c r="AB41" s="25"/>
    </row>
    <row r="42" spans="1:28">
      <c r="A42" s="3">
        <v>5</v>
      </c>
      <c r="B42" s="25">
        <v>237.25</v>
      </c>
      <c r="C42" s="25">
        <v>96</v>
      </c>
      <c r="D42" s="4">
        <f>IF(B42,B42-$C$4," ")</f>
        <v>-32.75</v>
      </c>
      <c r="E42" s="4">
        <f>IF(B42,INT(D42)," ")</f>
        <v>-33</v>
      </c>
      <c r="F42" s="4">
        <f>IF(B42,((D42-E42)/60*100)," ")</f>
        <v>0.41666666666666669</v>
      </c>
      <c r="G42" s="4">
        <f>IF(B42,C42*COS(PI()/180*(E42+F42))," ")</f>
        <v>80.890472009377419</v>
      </c>
      <c r="H42" s="4">
        <f>IF(B42,(C42*SIN(PI()/180*(E42+F42)))," ")</f>
        <v>-51.698467463747207</v>
      </c>
      <c r="I42" s="4"/>
      <c r="J42" s="4"/>
      <c r="K42" s="4">
        <f t="shared" si="4"/>
        <v>49.266493437555987</v>
      </c>
      <c r="L42" s="4">
        <f t="shared" si="5"/>
        <v>-34.500433155626141</v>
      </c>
      <c r="M42" s="4">
        <f t="shared" si="6"/>
        <v>2427.1873756327473</v>
      </c>
      <c r="N42" s="4">
        <f t="shared" si="7"/>
        <v>1190.2798879258276</v>
      </c>
      <c r="O42" s="4"/>
      <c r="P42" s="4"/>
      <c r="Q42" s="4"/>
      <c r="R42" s="4"/>
      <c r="S42" s="4"/>
      <c r="T42" s="4"/>
      <c r="U42" s="4"/>
      <c r="V42" s="4"/>
      <c r="W42" s="5"/>
      <c r="AA42" s="25"/>
      <c r="AB42" s="25"/>
    </row>
    <row r="43" spans="1:28">
      <c r="A43" s="3">
        <v>6</v>
      </c>
      <c r="B43" s="25">
        <v>236.45</v>
      </c>
      <c r="C43" s="25">
        <v>90</v>
      </c>
      <c r="D43" s="4">
        <f>IF(B43,B43-$C$4," ")</f>
        <v>-33.550000000000011</v>
      </c>
      <c r="E43" s="4">
        <f>IF(B43,INT(D43)," ")</f>
        <v>-34</v>
      </c>
      <c r="F43" s="4">
        <f>IF(B43,((D43-E43)/60*100)," ")</f>
        <v>0.74999999999998102</v>
      </c>
      <c r="G43" s="4">
        <f>IF(B43,C43*COS(PI()/180*(E43+F43))," ")</f>
        <v>75.265754026298339</v>
      </c>
      <c r="H43" s="4">
        <f>IF(B43,(C43*SIN(PI()/180*(E43+F43)))," ")</f>
        <v>-49.346390656792281</v>
      </c>
      <c r="I43" s="4"/>
      <c r="J43" s="4"/>
      <c r="K43" s="4">
        <f t="shared" si="4"/>
        <v>43.641775454476907</v>
      </c>
      <c r="L43" s="4">
        <f t="shared" si="5"/>
        <v>-32.148356348671214</v>
      </c>
      <c r="M43" s="4">
        <f t="shared" si="6"/>
        <v>1904.6045648189829</v>
      </c>
      <c r="N43" s="4">
        <f t="shared" si="7"/>
        <v>1033.5168159211487</v>
      </c>
      <c r="O43" s="4"/>
      <c r="P43" s="4"/>
      <c r="Q43" s="4"/>
      <c r="R43" s="4"/>
      <c r="S43" s="4"/>
      <c r="T43" s="4"/>
      <c r="U43" s="4"/>
      <c r="V43" s="4"/>
      <c r="W43" s="5"/>
      <c r="AA43" s="25"/>
      <c r="AB43" s="25"/>
    </row>
    <row r="44" spans="1:28">
      <c r="A44" s="3">
        <v>7</v>
      </c>
      <c r="B44" s="25">
        <v>235.5</v>
      </c>
      <c r="C44" s="25">
        <v>79</v>
      </c>
      <c r="D44" s="4">
        <f>IF(B44,B44-$C$4," ")</f>
        <v>-34.5</v>
      </c>
      <c r="E44" s="4">
        <f>IF(B44,INT(D44)," ")</f>
        <v>-35</v>
      </c>
      <c r="F44" s="4">
        <f>IF(B44,((D44-E44)/60*100)," ")</f>
        <v>0.83333333333333337</v>
      </c>
      <c r="G44" s="4">
        <f>IF(B44,C44*COS(PI()/180*(E44+F44))," ")</f>
        <v>65.365187850179339</v>
      </c>
      <c r="H44" s="4">
        <f>IF(B44,(C44*SIN(PI()/180*(E44+F44)))," ")</f>
        <v>-44.366566435895933</v>
      </c>
      <c r="I44" s="4"/>
      <c r="J44" s="4"/>
      <c r="K44" s="4">
        <f t="shared" si="4"/>
        <v>33.741209278357907</v>
      </c>
      <c r="L44" s="4">
        <f t="shared" si="5"/>
        <v>-27.168532127774871</v>
      </c>
      <c r="M44" s="4">
        <f t="shared" si="6"/>
        <v>1138.4692035659457</v>
      </c>
      <c r="N44" s="4">
        <f t="shared" si="7"/>
        <v>738.12913797793533</v>
      </c>
      <c r="O44" s="4"/>
      <c r="P44" s="4"/>
      <c r="Q44" s="4"/>
      <c r="R44" s="4"/>
      <c r="S44" s="4"/>
      <c r="T44" s="4"/>
      <c r="U44" s="4"/>
      <c r="V44" s="4"/>
      <c r="W44" s="5"/>
    </row>
    <row r="45" spans="1:28">
      <c r="A45" s="3">
        <v>8</v>
      </c>
      <c r="B45" s="25">
        <v>163.5</v>
      </c>
      <c r="C45" s="25">
        <v>46</v>
      </c>
      <c r="D45" s="4">
        <f>IF(B45,B45-$C$4," ")</f>
        <v>-106.5</v>
      </c>
      <c r="E45" s="4">
        <f>IF(B45,INT(D45)," ")</f>
        <v>-107</v>
      </c>
      <c r="F45" s="4">
        <f>IF(B45,((D45-E45)/60*100)," ")</f>
        <v>0.83333333333333337</v>
      </c>
      <c r="G45" s="4">
        <f>IF(B45,C45*COS(PI()/180*(E45+F45))," ")</f>
        <v>-12.807889601279546</v>
      </c>
      <c r="H45" s="4">
        <f>IF(B45,(C45*SIN(PI()/180*(E45+F45)))," ")</f>
        <v>-44.180968345673854</v>
      </c>
      <c r="I45" s="4"/>
      <c r="J45" s="4"/>
      <c r="K45" s="4">
        <f t="shared" si="4"/>
        <v>-44.43186817310098</v>
      </c>
      <c r="L45" s="4">
        <f t="shared" si="5"/>
        <v>-26.982934037552791</v>
      </c>
      <c r="M45" s="4">
        <f t="shared" si="6"/>
        <v>1974.1909093518238</v>
      </c>
      <c r="N45" s="4">
        <f t="shared" si="7"/>
        <v>728.07872927492497</v>
      </c>
      <c r="O45" s="4"/>
      <c r="P45" s="4"/>
      <c r="Q45" s="4"/>
      <c r="R45" s="4"/>
      <c r="S45" s="4"/>
      <c r="T45" s="4"/>
      <c r="U45" s="4"/>
      <c r="V45" s="4"/>
      <c r="W45" s="5"/>
    </row>
    <row r="46" spans="1:28">
      <c r="A46" s="3">
        <v>9</v>
      </c>
      <c r="B46" s="25">
        <v>243.3</v>
      </c>
      <c r="C46" s="25">
        <v>92</v>
      </c>
      <c r="D46" s="4">
        <f>IF(B46,B46-$C$4," ")</f>
        <v>-26.699999999999989</v>
      </c>
      <c r="E46" s="4">
        <f>IF(B46,INT(D46)," ")</f>
        <v>-27</v>
      </c>
      <c r="F46" s="4">
        <f>IF(B46,((D46-E46)/60*100)," ")</f>
        <v>0.50000000000001887</v>
      </c>
      <c r="G46" s="4">
        <f>IF(B46,C46*COS(PI()/180*(E46+F46))," ")</f>
        <v>82.333961267386314</v>
      </c>
      <c r="H46" s="4">
        <f>IF(B46,(C46*SIN(PI()/180*(E46+F46)))," ")</f>
        <v>-41.050198806102387</v>
      </c>
      <c r="I46" s="4"/>
      <c r="J46" s="4"/>
      <c r="K46" s="4">
        <f t="shared" si="4"/>
        <v>50.709982695564882</v>
      </c>
      <c r="L46" s="4">
        <f t="shared" si="5"/>
        <v>-23.852164497981324</v>
      </c>
      <c r="M46" s="4">
        <f t="shared" si="6"/>
        <v>2571.5023449844898</v>
      </c>
      <c r="N46" s="4">
        <f t="shared" si="7"/>
        <v>568.92575123876065</v>
      </c>
      <c r="O46" s="4"/>
      <c r="P46" s="4"/>
      <c r="Q46" s="4"/>
      <c r="R46" s="4"/>
      <c r="S46" s="4"/>
      <c r="T46" s="4"/>
      <c r="U46" s="4"/>
      <c r="V46" s="4"/>
      <c r="W46" s="5"/>
    </row>
    <row r="47" spans="1:28">
      <c r="A47" s="3">
        <v>10</v>
      </c>
      <c r="B47" s="25">
        <v>237</v>
      </c>
      <c r="C47" s="25">
        <v>74</v>
      </c>
      <c r="D47" s="4">
        <f>IF(B47,B47-$C$4," ")</f>
        <v>-33</v>
      </c>
      <c r="E47" s="4">
        <f>IF(B47,INT(D47)," ")</f>
        <v>-33</v>
      </c>
      <c r="F47" s="4">
        <f>IF(B47,((D47-E47)/60*100)," ")</f>
        <v>0</v>
      </c>
      <c r="G47" s="4">
        <f>IF(B47,C47*COS(PI()/180*(E47+F47))," ")</f>
        <v>62.061622027961377</v>
      </c>
      <c r="H47" s="4">
        <f>IF(B47,(C47*SIN(PI()/180*(E47+F47)))," ")</f>
        <v>-40.303288591112008</v>
      </c>
      <c r="I47" s="4"/>
      <c r="J47" s="4"/>
      <c r="K47" s="4">
        <f t="shared" si="4"/>
        <v>30.437643456139945</v>
      </c>
      <c r="L47" s="4">
        <f t="shared" si="5"/>
        <v>-23.105254282990945</v>
      </c>
      <c r="M47" s="4">
        <f t="shared" si="6"/>
        <v>926.45013916309881</v>
      </c>
      <c r="N47" s="4">
        <f t="shared" si="7"/>
        <v>533.85277548167142</v>
      </c>
      <c r="O47" s="4"/>
      <c r="P47" s="4"/>
      <c r="Q47" s="4"/>
      <c r="R47" s="4"/>
      <c r="S47" s="4"/>
      <c r="T47" s="4"/>
      <c r="U47" s="4"/>
      <c r="V47" s="4"/>
      <c r="W47" s="5"/>
    </row>
    <row r="48" spans="1:28">
      <c r="A48" s="3">
        <v>11</v>
      </c>
      <c r="B48" s="25">
        <v>240.45</v>
      </c>
      <c r="C48" s="25">
        <v>70</v>
      </c>
      <c r="D48" s="4">
        <f>IF(B48,B48-$C$4," ")</f>
        <v>-29.550000000000011</v>
      </c>
      <c r="E48" s="4">
        <f>IF(B48,INT(D48)," ")</f>
        <v>-30</v>
      </c>
      <c r="F48" s="4">
        <f>IF(B48,((D48-E48)/60*100)," ")</f>
        <v>0.74999999999998102</v>
      </c>
      <c r="G48" s="4">
        <f>IF(B48,C48*COS(PI()/180*(E48+F48))," ")</f>
        <v>61.074720495095789</v>
      </c>
      <c r="H48" s="4">
        <f>IF(B48,(C48*SIN(PI()/180*(E48+F48)))," ")</f>
        <v>-34.203486904786864</v>
      </c>
      <c r="I48" s="4"/>
      <c r="J48" s="4"/>
      <c r="K48" s="4">
        <f t="shared" si="4"/>
        <v>29.450741923274357</v>
      </c>
      <c r="L48" s="4">
        <f t="shared" si="5"/>
        <v>-17.005452596665801</v>
      </c>
      <c r="M48" s="4">
        <f t="shared" si="6"/>
        <v>867.34619983130983</v>
      </c>
      <c r="N48" s="4">
        <f t="shared" si="7"/>
        <v>289.18541801744766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>
        <v>240.4</v>
      </c>
      <c r="C49" s="25">
        <v>68</v>
      </c>
      <c r="D49" s="4">
        <f>IF(B49,B49-$C$4," ")</f>
        <v>-29.599999999999994</v>
      </c>
      <c r="E49" s="4">
        <f>IF(B49,INT(D49)," ")</f>
        <v>-30</v>
      </c>
      <c r="F49" s="4">
        <f>IF(B49,((D49-E49)/60*100)," ")</f>
        <v>0.66666666666667618</v>
      </c>
      <c r="G49" s="4">
        <f>IF(B49,C49*COS(PI()/180*(E49+F49))," ")</f>
        <v>59.281340131379842</v>
      </c>
      <c r="H49" s="4">
        <f>IF(B49,(C49*SIN(PI()/180*(E49+F49)))," ")</f>
        <v>-33.312500840189905</v>
      </c>
      <c r="I49" s="4"/>
      <c r="J49" s="4"/>
      <c r="K49" s="4">
        <f t="shared" si="4"/>
        <v>27.65736155955841</v>
      </c>
      <c r="L49" s="4">
        <f t="shared" si="5"/>
        <v>-16.114466532068842</v>
      </c>
      <c r="M49" s="4">
        <f t="shared" si="6"/>
        <v>764.92964843613925</v>
      </c>
      <c r="N49" s="4">
        <f t="shared" si="7"/>
        <v>259.6760316131668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>
        <v>246.1</v>
      </c>
      <c r="C50" s="25">
        <v>82</v>
      </c>
      <c r="D50" s="4">
        <f>IF(B50,B50-$C$4," ")</f>
        <v>-23.900000000000006</v>
      </c>
      <c r="E50" s="4">
        <f>IF(B50,INT(D50)," ")</f>
        <v>-24</v>
      </c>
      <c r="F50" s="4">
        <f>IF(B50,((D50-E50)/60*100)," ")</f>
        <v>0.16666666666665719</v>
      </c>
      <c r="G50" s="4">
        <f>IF(B50,C50*COS(PI()/180*(E50+F50))," ")</f>
        <v>75.00742867064929</v>
      </c>
      <c r="H50" s="4">
        <f>IF(B50,(C50*SIN(PI()/180*(E50+F50)))," ")</f>
        <v>-33.134357458949736</v>
      </c>
      <c r="I50" s="4"/>
      <c r="J50" s="4"/>
      <c r="K50" s="4">
        <f t="shared" si="4"/>
        <v>43.383450098827858</v>
      </c>
      <c r="L50" s="4">
        <f t="shared" si="5"/>
        <v>-15.936323150828674</v>
      </c>
      <c r="M50" s="4">
        <f t="shared" si="6"/>
        <v>1882.1237424774868</v>
      </c>
      <c r="N50" s="4">
        <f t="shared" si="7"/>
        <v>253.96639556763796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>
        <v>248.5</v>
      </c>
      <c r="C51" s="25">
        <v>86</v>
      </c>
      <c r="D51" s="4">
        <f>IF(B51,B51-$C$4," ")</f>
        <v>-21.5</v>
      </c>
      <c r="E51" s="4">
        <f>IF(B51,INT(D51)," ")</f>
        <v>-22</v>
      </c>
      <c r="F51" s="4">
        <f>IF(B51,((D51-E51)/60*100)," ")</f>
        <v>0.83333333333333337</v>
      </c>
      <c r="G51" s="4">
        <f>IF(B51,C51*COS(PI()/180*(E51+F51))," ")</f>
        <v>80.197926414150885</v>
      </c>
      <c r="H51" s="4">
        <f>IF(B51,(C51*SIN(PI()/180*(E51+F51)))," ")</f>
        <v>-31.053061022553639</v>
      </c>
      <c r="I51" s="4"/>
      <c r="J51" s="4"/>
      <c r="K51" s="4">
        <f t="shared" si="4"/>
        <v>48.573947842329453</v>
      </c>
      <c r="L51" s="4">
        <f t="shared" si="5"/>
        <v>-13.855026714432576</v>
      </c>
      <c r="M51" s="4">
        <f t="shared" si="6"/>
        <v>2359.4284089893422</v>
      </c>
      <c r="N51" s="4">
        <f t="shared" si="7"/>
        <v>191.96176525764034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>
        <v>249.55</v>
      </c>
      <c r="C52" s="25">
        <v>88</v>
      </c>
      <c r="D52" s="4">
        <f>IF(B52,B52-$C$4," ")</f>
        <v>-20.449999999999989</v>
      </c>
      <c r="E52" s="4">
        <f>IF(B52,INT(D52)," ")</f>
        <v>-21</v>
      </c>
      <c r="F52" s="4">
        <f>IF(B52,((D52-E52)/60*100)," ")</f>
        <v>0.91666666666668561</v>
      </c>
      <c r="G52" s="4">
        <f>IF(B52,C52*COS(PI()/180*(E52+F52))," ")</f>
        <v>82.649087744526355</v>
      </c>
      <c r="H52" s="4">
        <f>IF(B52,(C52*SIN(PI()/180*(E52+F52)))," ")</f>
        <v>-30.218012757254296</v>
      </c>
      <c r="I52" s="4"/>
      <c r="J52" s="4"/>
      <c r="K52" s="4">
        <f t="shared" si="4"/>
        <v>51.025109172704923</v>
      </c>
      <c r="L52" s="4">
        <f t="shared" si="5"/>
        <v>-13.019978449133234</v>
      </c>
      <c r="M52" s="4">
        <f t="shared" si="6"/>
        <v>2603.5617660864559</v>
      </c>
      <c r="N52" s="4">
        <f t="shared" si="7"/>
        <v>169.51983881589385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>
        <v>222.4</v>
      </c>
      <c r="C53" s="25">
        <v>64</v>
      </c>
      <c r="D53" s="4">
        <f>IF(B53,B53-$C$4," ")</f>
        <v>-47.599999999999994</v>
      </c>
      <c r="E53" s="4">
        <f>IF(B53,INT(D53)," ")</f>
        <v>-48</v>
      </c>
      <c r="F53" s="4">
        <f>IF(B53,((D53-E53)/60*100)," ")</f>
        <v>0.66666666666667618</v>
      </c>
      <c r="G53" s="4">
        <f>IF(B53,C53*COS(PI()/180*(E53+F53))," ")</f>
        <v>43.374847945326877</v>
      </c>
      <c r="H53" s="4">
        <f>IF(B53,(C53*SIN(PI()/180*(E53+F53)))," ")</f>
        <v>-47.059776515829022</v>
      </c>
      <c r="I53" s="4"/>
      <c r="J53" s="4"/>
      <c r="K53" s="4">
        <f t="shared" si="4"/>
        <v>11.750869373505445</v>
      </c>
      <c r="L53" s="4">
        <f t="shared" si="5"/>
        <v>-29.861742207707959</v>
      </c>
      <c r="M53" s="4">
        <f t="shared" si="6"/>
        <v>138.08293103318826</v>
      </c>
      <c r="N53" s="4">
        <f t="shared" si="7"/>
        <v>891.72364767960698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>
        <v>229.5</v>
      </c>
      <c r="C54" s="25">
        <v>72</v>
      </c>
      <c r="D54" s="4">
        <f>IF(B54,B54-$C$4," ")</f>
        <v>-40.5</v>
      </c>
      <c r="E54" s="4">
        <f>IF(B54,INT(D54)," ")</f>
        <v>-41</v>
      </c>
      <c r="F54" s="4">
        <f>IF(B54,((D54-E54)/60*100)," ")</f>
        <v>0.83333333333333337</v>
      </c>
      <c r="G54" s="4">
        <f>IF(B54,C54*COS(PI()/180*(E54+F54))," ")</f>
        <v>55.02034162194574</v>
      </c>
      <c r="H54" s="4">
        <f>IF(B54,(C54*SIN(PI()/180*(E54+F54)))," ")</f>
        <v>-46.440951839991236</v>
      </c>
      <c r="I54" s="4"/>
      <c r="J54" s="4"/>
      <c r="K54" s="4">
        <f t="shared" si="4"/>
        <v>23.396363050124307</v>
      </c>
      <c r="L54" s="4">
        <f t="shared" si="5"/>
        <v>-29.242917531870173</v>
      </c>
      <c r="M54" s="4">
        <f t="shared" si="6"/>
        <v>547.389803973222</v>
      </c>
      <c r="N54" s="4">
        <f t="shared" si="7"/>
        <v>855.1482257757599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>
        <v>233.25</v>
      </c>
      <c r="C55" s="25">
        <v>66</v>
      </c>
      <c r="D55" s="4">
        <f>IF(B55,B55-$C$4," ")</f>
        <v>-36.75</v>
      </c>
      <c r="E55" s="4">
        <f>IF(B55,INT(D55)," ")</f>
        <v>-37</v>
      </c>
      <c r="F55" s="4">
        <f>IF(B55,((D55-E55)/60*100)," ")</f>
        <v>0.41666666666666669</v>
      </c>
      <c r="G55" s="4">
        <f>IF(B55,C55*COS(PI()/180*(E55+F55))," ")</f>
        <v>52.997397816589235</v>
      </c>
      <c r="H55" s="4">
        <f>IF(B55,(C55*SIN(PI()/180*(E55+F55)))," ")</f>
        <v>-39.335427094035495</v>
      </c>
      <c r="I55" s="4"/>
      <c r="J55" s="4"/>
      <c r="K55" s="4">
        <f t="shared" si="4"/>
        <v>21.373419244767803</v>
      </c>
      <c r="L55" s="4">
        <f t="shared" si="5"/>
        <v>-22.137392785914432</v>
      </c>
      <c r="M55" s="4">
        <f t="shared" si="6"/>
        <v>456.82305021261067</v>
      </c>
      <c r="N55" s="4">
        <f t="shared" si="7"/>
        <v>490.06415935785634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>
        <v>192.25</v>
      </c>
      <c r="C56" s="25">
        <v>38</v>
      </c>
      <c r="D56" s="4">
        <f>IF(B56,B56-$C$4," ")</f>
        <v>-77.75</v>
      </c>
      <c r="E56" s="4">
        <f>IF(B56,INT(D56)," ")</f>
        <v>-78</v>
      </c>
      <c r="F56" s="4">
        <f>IF(B56,((D56-E56)/60*100)," ")</f>
        <v>0.41666666666666669</v>
      </c>
      <c r="G56" s="4">
        <f>IF(B56,C56*COS(PI()/180*(E56+F56))," ")</f>
        <v>8.1707379800464413</v>
      </c>
      <c r="H56" s="4">
        <f>IF(B56,(C56*SIN(PI()/180*(E56+F56)))," ")</f>
        <v>-37.111171375495907</v>
      </c>
      <c r="I56" s="4"/>
      <c r="J56" s="4"/>
      <c r="K56" s="4">
        <f t="shared" si="4"/>
        <v>-23.453240591774993</v>
      </c>
      <c r="L56" s="4">
        <f t="shared" si="5"/>
        <v>-19.913137067374844</v>
      </c>
      <c r="M56" s="4">
        <f t="shared" si="6"/>
        <v>550.05449425568224</v>
      </c>
      <c r="N56" s="4">
        <f t="shared" si="7"/>
        <v>396.533027864058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>
        <v>228.1</v>
      </c>
      <c r="C57" s="25">
        <v>48</v>
      </c>
      <c r="D57" s="4">
        <f>IF(B57,B57-$C$4," ")</f>
        <v>-41.900000000000006</v>
      </c>
      <c r="E57" s="4">
        <f>IF(B57,INT(D57)," ")</f>
        <v>-42</v>
      </c>
      <c r="F57" s="4">
        <f>IF(B57,((D57-E57)/60*100)," ")</f>
        <v>0.16666666666665719</v>
      </c>
      <c r="G57" s="4">
        <f>IF(B57,C57*COS(PI()/180*(E57+F57))," ")</f>
        <v>35.764228832344493</v>
      </c>
      <c r="H57" s="4">
        <f>IF(B57,(C57*SIN(PI()/180*(E57+F57)))," ")</f>
        <v>-32.014370773571343</v>
      </c>
      <c r="I57" s="4"/>
      <c r="J57" s="4"/>
      <c r="K57" s="4">
        <f t="shared" si="4"/>
        <v>4.1402502605230609</v>
      </c>
      <c r="L57" s="4">
        <f t="shared" si="5"/>
        <v>-14.816336465450281</v>
      </c>
      <c r="M57" s="4">
        <f t="shared" si="6"/>
        <v>17.141672219761272</v>
      </c>
      <c r="N57" s="4">
        <f t="shared" si="7"/>
        <v>219.52382625743172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>
        <v>203.25</v>
      </c>
      <c r="C58" s="25">
        <v>34</v>
      </c>
      <c r="D58" s="4">
        <f>IF(B58,B58-$C$4," ")</f>
        <v>-66.75</v>
      </c>
      <c r="E58" s="4">
        <f>IF(B58,INT(D58)," ")</f>
        <v>-67</v>
      </c>
      <c r="F58" s="4">
        <f>IF(B58,((D58-E58)/60*100)," ")</f>
        <v>0.41666666666666669</v>
      </c>
      <c r="G58" s="4">
        <f>IF(B58,C58*COS(PI()/180*(E58+F58))," ")</f>
        <v>13.512104486136794</v>
      </c>
      <c r="H58" s="4">
        <f>IF(B58,(C58*SIN(PI()/180*(E58+F58)))," ")</f>
        <v>-31.19972808143882</v>
      </c>
      <c r="I58" s="4"/>
      <c r="J58" s="4"/>
      <c r="K58" s="4">
        <f t="shared" si="4"/>
        <v>-18.11187408568464</v>
      </c>
      <c r="L58" s="4">
        <f t="shared" si="5"/>
        <v>-14.001693773317758</v>
      </c>
      <c r="M58" s="4">
        <f t="shared" si="6"/>
        <v>328.03998289569483</v>
      </c>
      <c r="N58" s="4">
        <f t="shared" si="7"/>
        <v>196.04742852176528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>
        <v>254</v>
      </c>
      <c r="C59" s="25">
        <v>90</v>
      </c>
      <c r="D59" s="4">
        <f t="shared" ref="D38:D61" si="8">IF(B59,B59-$C$4," ")</f>
        <v>-16</v>
      </c>
      <c r="E59" s="4">
        <f t="shared" ref="E38:E61" si="9">IF(B59,INT(D59)," ")</f>
        <v>-16</v>
      </c>
      <c r="F59" s="4">
        <f t="shared" ref="F38:F61" si="10">IF(B59,((D59-E59)/60*100)," ")</f>
        <v>0</v>
      </c>
      <c r="G59" s="4">
        <f t="shared" ref="G38:G61" si="11">IF(B59,C59*COS(PI()/180*(E59+F59))," ")</f>
        <v>86.5135526344487</v>
      </c>
      <c r="H59" s="4">
        <f t="shared" ref="H38:H61" si="12">IF(B59,(C59*SIN(PI()/180*(E59+F59)))," ")</f>
        <v>-24.807362023529926</v>
      </c>
      <c r="I59" s="4"/>
      <c r="J59" s="4"/>
      <c r="K59" s="4">
        <f t="shared" si="4"/>
        <v>54.889574062627268</v>
      </c>
      <c r="L59" s="4">
        <f t="shared" si="5"/>
        <v>-7.6093277154088632</v>
      </c>
      <c r="M59" s="4">
        <f t="shared" si="6"/>
        <v>3012.8653407766442</v>
      </c>
      <c r="N59" s="4">
        <f t="shared" si="7"/>
        <v>57.901868280489467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8"/>
        <v xml:space="preserve"> </v>
      </c>
      <c r="E60" s="4" t="str">
        <f t="shared" si="9"/>
        <v xml:space="preserve"> </v>
      </c>
      <c r="F60" s="4" t="str">
        <f t="shared" si="10"/>
        <v xml:space="preserve"> </v>
      </c>
      <c r="G60" s="4" t="str">
        <f t="shared" si="11"/>
        <v xml:space="preserve"> </v>
      </c>
      <c r="H60" s="4" t="str">
        <f t="shared" si="12"/>
        <v xml:space="preserve"> </v>
      </c>
      <c r="I60" s="4"/>
      <c r="J60" s="4"/>
      <c r="K60" s="4" t="str">
        <f t="shared" si="4"/>
        <v xml:space="preserve"> </v>
      </c>
      <c r="L60" s="4" t="str">
        <f t="shared" si="5"/>
        <v xml:space="preserve"> </v>
      </c>
      <c r="M60" s="4" t="str">
        <f t="shared" si="6"/>
        <v xml:space="preserve"> </v>
      </c>
      <c r="N60" s="4" t="str">
        <f t="shared" si="7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8"/>
        <v xml:space="preserve"> </v>
      </c>
      <c r="E61" s="7" t="str">
        <f t="shared" si="9"/>
        <v xml:space="preserve"> </v>
      </c>
      <c r="F61" s="7" t="str">
        <f t="shared" si="10"/>
        <v xml:space="preserve"> </v>
      </c>
      <c r="G61" s="7" t="str">
        <f t="shared" si="11"/>
        <v xml:space="preserve"> </v>
      </c>
      <c r="H61" s="7" t="str">
        <f t="shared" si="12"/>
        <v xml:space="preserve"> </v>
      </c>
      <c r="I61" s="7"/>
      <c r="J61" s="7"/>
      <c r="K61" s="7" t="str">
        <f t="shared" si="4"/>
        <v xml:space="preserve"> </v>
      </c>
      <c r="L61" s="7" t="str">
        <f t="shared" si="5"/>
        <v xml:space="preserve"> </v>
      </c>
      <c r="M61" s="7" t="str">
        <f t="shared" si="6"/>
        <v xml:space="preserve"> </v>
      </c>
      <c r="N61" s="7" t="str">
        <f t="shared" si="7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sortState ref="B38:H58">
    <sortCondition ref="H38:H58"/>
  </sortState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2"/>
  </sheetPr>
  <dimension ref="A1:W62"/>
  <sheetViews>
    <sheetView topLeftCell="A61" zoomScale="55" zoomScaleNormal="55" workbookViewId="0">
      <selection activeCell="AD42" sqref="AD42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59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4"/>
      <c r="H2" s="24"/>
      <c r="I2" s="107" t="s">
        <v>23</v>
      </c>
      <c r="J2" s="108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80.859578749682299</v>
      </c>
      <c r="J4" s="17">
        <f>(J12+J38)/2</f>
        <v>-61.942036503465943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24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283.05</v>
      </c>
      <c r="C12" s="25">
        <v>44</v>
      </c>
      <c r="D12" s="4">
        <f>IF(B12,B12-$C$4," ")</f>
        <v>13.050000000000011</v>
      </c>
      <c r="E12" s="4">
        <f>IF(B12,INT(D12)," ")</f>
        <v>13</v>
      </c>
      <c r="F12" s="4">
        <f>IF(B12,((D12-E12)/60*100)," ")</f>
        <v>8.3333333333352286E-2</v>
      </c>
      <c r="G12" s="4">
        <f>IF(B12,C12*COS(PI()/180*(E12+F12))," ")</f>
        <v>42.857841675615262</v>
      </c>
      <c r="H12" s="4">
        <f>IF(B12,(C12*SIN(PI()/180*(E12+F12)))," ")</f>
        <v>9.9601911080006662</v>
      </c>
      <c r="I12" s="4">
        <f>SUM(G12:G35)/D6</f>
        <v>82.838851993640688</v>
      </c>
      <c r="J12" s="4">
        <f>SUM(H12:H35)/D6</f>
        <v>-6.9653993063906148</v>
      </c>
      <c r="K12" s="4">
        <f>IF(B12,SUM(G12,-$I$12)," ")</f>
        <v>-39.981010318025426</v>
      </c>
      <c r="L12" s="4">
        <f>IF(B12,SUM(H12,-$J$12)," ")</f>
        <v>16.92559041439128</v>
      </c>
      <c r="M12" s="4">
        <f>IF(B12,POWER(K12,2)," ")</f>
        <v>1598.4811860500556</v>
      </c>
      <c r="N12" s="4">
        <f>IF(B12,POWER(L12,2)," ")</f>
        <v>286.47561087573399</v>
      </c>
      <c r="O12" s="4">
        <f>D6-1</f>
        <v>23</v>
      </c>
      <c r="P12" s="4">
        <f>SUM(M12:M35)</f>
        <v>28945.650998193909</v>
      </c>
      <c r="Q12" s="4">
        <f>SUM(N12:N35)</f>
        <v>1783.3365108834989</v>
      </c>
      <c r="R12" s="4">
        <f>PRODUCT(P12,1/$O$12)</f>
        <v>1258.5065651388657</v>
      </c>
      <c r="S12" s="4">
        <f>PRODUCT(Q12,1/$O$12)</f>
        <v>77.536370038412997</v>
      </c>
      <c r="T12" s="4">
        <f>SQRT(R12)</f>
        <v>35.475436081024654</v>
      </c>
      <c r="U12" s="4">
        <f>SQRT(S12)</f>
        <v>8.8054738679081321</v>
      </c>
      <c r="V12" s="4">
        <f>PRODUCT(T12:U12)</f>
        <v>312.37802536410788</v>
      </c>
      <c r="W12" s="10">
        <f>SQRT(V12)</f>
        <v>17.674219229264637</v>
      </c>
    </row>
    <row r="13" spans="1:23">
      <c r="A13" s="3">
        <v>2</v>
      </c>
      <c r="B13" s="25">
        <v>90.05</v>
      </c>
      <c r="C13" s="25">
        <v>14</v>
      </c>
      <c r="D13" s="4">
        <f t="shared" ref="D13:D35" si="0">IF(B13,B13-$C$4," ")</f>
        <v>-179.95</v>
      </c>
      <c r="E13" s="4">
        <f t="shared" ref="E13:E35" si="1">IF(B13,INT(D13)," ")</f>
        <v>-180</v>
      </c>
      <c r="F13" s="4">
        <f t="shared" ref="F13:F35" si="2">IF(B13,((D13-E13)/60*100)," ")</f>
        <v>8.3333333333352286E-2</v>
      </c>
      <c r="G13" s="4">
        <f t="shared" ref="G13:G35" si="3">IF(B13,C13*COS(PI()/180*(E13+F13))," ")</f>
        <v>-13.999985192211371</v>
      </c>
      <c r="H13" s="4">
        <f t="shared" ref="H13:H35" si="4">IF(B13,(C13*SIN(PI()/180*(E13+F13)))," ")</f>
        <v>-2.0362167427586082E-2</v>
      </c>
      <c r="I13" s="4"/>
      <c r="J13" s="4"/>
      <c r="K13" s="4">
        <f t="shared" ref="K13:K35" si="5">IF(B13,SUM(G13,-$I$12)," ")</f>
        <v>-96.838837185852057</v>
      </c>
      <c r="L13" s="4">
        <f t="shared" ref="L13:L35" si="6">IF(B13,SUM(H13,-$J$12)," ")</f>
        <v>6.9450371389630288</v>
      </c>
      <c r="M13" s="4">
        <f t="shared" ref="M13:M35" si="7">IF(B13,POWER(K13,2)," ")</f>
        <v>9377.760387507964</v>
      </c>
      <c r="N13" s="4">
        <f t="shared" ref="N13:N34" si="8">IF(B13,POWER(L13,2)," ")</f>
        <v>48.233540861575776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266.5</v>
      </c>
      <c r="C14" s="25">
        <v>48</v>
      </c>
      <c r="D14" s="4">
        <f t="shared" si="0"/>
        <v>-3.5</v>
      </c>
      <c r="E14" s="4">
        <f t="shared" si="1"/>
        <v>-4</v>
      </c>
      <c r="F14" s="4">
        <f t="shared" si="2"/>
        <v>0.83333333333333337</v>
      </c>
      <c r="G14" s="4">
        <f t="shared" si="3"/>
        <v>47.926707400670942</v>
      </c>
      <c r="H14" s="4">
        <f t="shared" si="4"/>
        <v>-2.6515500618455263</v>
      </c>
      <c r="I14" s="4"/>
      <c r="J14" s="4"/>
      <c r="K14" s="4">
        <f t="shared" si="5"/>
        <v>-34.912144592969746</v>
      </c>
      <c r="L14" s="4">
        <f t="shared" si="6"/>
        <v>4.3138492445450884</v>
      </c>
      <c r="M14" s="4">
        <f t="shared" si="7"/>
        <v>1218.8578400804267</v>
      </c>
      <c r="N14" s="4">
        <f t="shared" si="8"/>
        <v>18.609295304662229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261</v>
      </c>
      <c r="C15" s="25">
        <v>48</v>
      </c>
      <c r="D15" s="4">
        <f t="shared" si="0"/>
        <v>-9</v>
      </c>
      <c r="E15" s="4">
        <f t="shared" si="1"/>
        <v>-9</v>
      </c>
      <c r="F15" s="4">
        <f t="shared" si="2"/>
        <v>0</v>
      </c>
      <c r="G15" s="4">
        <f t="shared" si="3"/>
        <v>47.409040348566613</v>
      </c>
      <c r="H15" s="4">
        <f t="shared" si="4"/>
        <v>-7.5088543219310822</v>
      </c>
      <c r="I15" s="4"/>
      <c r="J15" s="4"/>
      <c r="K15" s="4">
        <f t="shared" si="5"/>
        <v>-35.429811645074075</v>
      </c>
      <c r="L15" s="4">
        <f t="shared" si="6"/>
        <v>-0.54345501554046738</v>
      </c>
      <c r="M15" s="4">
        <f t="shared" si="7"/>
        <v>1255.2715532054265</v>
      </c>
      <c r="N15" s="4">
        <f t="shared" si="8"/>
        <v>0.29534335391608962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247.45</v>
      </c>
      <c r="C16" s="25">
        <v>50</v>
      </c>
      <c r="D16" s="4">
        <f t="shared" si="0"/>
        <v>-22.550000000000011</v>
      </c>
      <c r="E16" s="4">
        <f t="shared" si="1"/>
        <v>-23</v>
      </c>
      <c r="F16" s="4">
        <f t="shared" si="2"/>
        <v>0.74999999999998102</v>
      </c>
      <c r="G16" s="4">
        <f t="shared" si="3"/>
        <v>46.277025200878313</v>
      </c>
      <c r="H16" s="4">
        <f t="shared" si="4"/>
        <v>-18.932430867621662</v>
      </c>
      <c r="I16" s="4"/>
      <c r="J16" s="4"/>
      <c r="K16" s="4">
        <f t="shared" si="5"/>
        <v>-36.561826792762375</v>
      </c>
      <c r="L16" s="4">
        <f t="shared" si="6"/>
        <v>-11.967031561231046</v>
      </c>
      <c r="M16" s="4">
        <f t="shared" si="7"/>
        <v>1336.7671784239567</v>
      </c>
      <c r="N16" s="4">
        <f t="shared" si="8"/>
        <v>143.20984438749997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247.1</v>
      </c>
      <c r="C17" s="25">
        <v>52</v>
      </c>
      <c r="D17" s="4">
        <f t="shared" si="0"/>
        <v>-22.900000000000006</v>
      </c>
      <c r="E17" s="4">
        <f t="shared" si="1"/>
        <v>-23</v>
      </c>
      <c r="F17" s="4">
        <f t="shared" si="2"/>
        <v>0.16666666666665719</v>
      </c>
      <c r="G17" s="4">
        <f t="shared" si="3"/>
        <v>47.925152504477239</v>
      </c>
      <c r="H17" s="4">
        <f t="shared" si="4"/>
        <v>-20.178695632339554</v>
      </c>
      <c r="I17" s="4"/>
      <c r="J17" s="4"/>
      <c r="K17" s="4">
        <f t="shared" si="5"/>
        <v>-34.913699489163449</v>
      </c>
      <c r="L17" s="4">
        <f t="shared" si="6"/>
        <v>-13.213296325948939</v>
      </c>
      <c r="M17" s="4">
        <f t="shared" si="7"/>
        <v>1218.9664120196121</v>
      </c>
      <c r="N17" s="4">
        <f t="shared" si="8"/>
        <v>174.59119979733572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247.2</v>
      </c>
      <c r="C18" s="25">
        <v>58</v>
      </c>
      <c r="D18" s="4">
        <f t="shared" si="0"/>
        <v>-22.800000000000011</v>
      </c>
      <c r="E18" s="4">
        <f t="shared" si="1"/>
        <v>-23</v>
      </c>
      <c r="F18" s="4">
        <f t="shared" si="2"/>
        <v>0.33333333333331439</v>
      </c>
      <c r="G18" s="4">
        <f t="shared" si="3"/>
        <v>53.520221772615649</v>
      </c>
      <c r="H18" s="4">
        <f t="shared" si="4"/>
        <v>-22.351417436262018</v>
      </c>
      <c r="I18" s="4"/>
      <c r="J18" s="4"/>
      <c r="K18" s="4">
        <f t="shared" si="5"/>
        <v>-29.318630221025039</v>
      </c>
      <c r="L18" s="4">
        <f t="shared" si="6"/>
        <v>-15.386018129871402</v>
      </c>
      <c r="M18" s="4">
        <f t="shared" si="7"/>
        <v>859.58207803720268</v>
      </c>
      <c r="N18" s="4">
        <f t="shared" si="8"/>
        <v>236.7295538927315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261.39999999999998</v>
      </c>
      <c r="C19" s="25">
        <v>74</v>
      </c>
      <c r="D19" s="4">
        <f t="shared" si="0"/>
        <v>-8.6000000000000227</v>
      </c>
      <c r="E19" s="4">
        <f t="shared" si="1"/>
        <v>-9</v>
      </c>
      <c r="F19" s="4">
        <f t="shared" si="2"/>
        <v>0.66666666666662877</v>
      </c>
      <c r="G19" s="4">
        <f t="shared" si="3"/>
        <v>73.218681254989889</v>
      </c>
      <c r="H19" s="4">
        <f t="shared" si="4"/>
        <v>-10.724957588736308</v>
      </c>
      <c r="I19" s="4"/>
      <c r="J19" s="4"/>
      <c r="K19" s="4">
        <f t="shared" si="5"/>
        <v>-9.6201707386507991</v>
      </c>
      <c r="L19" s="4">
        <f t="shared" si="6"/>
        <v>-3.7595582823456928</v>
      </c>
      <c r="M19" s="4">
        <f t="shared" si="7"/>
        <v>92.547685040793056</v>
      </c>
      <c r="N19" s="4">
        <f t="shared" si="8"/>
        <v>14.134278478354096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7">
        <v>267.05</v>
      </c>
      <c r="C20" s="25">
        <v>70</v>
      </c>
      <c r="D20" s="4">
        <f t="shared" si="0"/>
        <v>-2.9499999999999886</v>
      </c>
      <c r="E20" s="4">
        <f t="shared" si="1"/>
        <v>-3</v>
      </c>
      <c r="F20" s="4">
        <f t="shared" si="2"/>
        <v>8.3333333333352286E-2</v>
      </c>
      <c r="G20" s="4">
        <f t="shared" si="3"/>
        <v>69.909321862862328</v>
      </c>
      <c r="H20" s="4">
        <f t="shared" si="4"/>
        <v>-3.5618417531831543</v>
      </c>
      <c r="I20" s="4"/>
      <c r="J20" s="4"/>
      <c r="K20" s="4">
        <f t="shared" si="5"/>
        <v>-12.92953013077836</v>
      </c>
      <c r="L20" s="4">
        <f t="shared" si="6"/>
        <v>3.4035575532074605</v>
      </c>
      <c r="M20" s="4">
        <f t="shared" si="7"/>
        <v>167.17274940270548</v>
      </c>
      <c r="N20" s="4">
        <f t="shared" si="8"/>
        <v>11.584204017995555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7">
        <v>272.2</v>
      </c>
      <c r="C21" s="25">
        <v>76</v>
      </c>
      <c r="D21" s="4">
        <f t="shared" si="0"/>
        <v>2.1999999999999886</v>
      </c>
      <c r="E21" s="4">
        <f t="shared" si="1"/>
        <v>2</v>
      </c>
      <c r="F21" s="4">
        <f t="shared" si="2"/>
        <v>0.33333333333331439</v>
      </c>
      <c r="G21" s="4">
        <f t="shared" si="3"/>
        <v>75.936986750018818</v>
      </c>
      <c r="H21" s="4">
        <f t="shared" si="4"/>
        <v>3.0941951017132578</v>
      </c>
      <c r="I21" s="4"/>
      <c r="J21" s="4"/>
      <c r="K21" s="4">
        <f t="shared" si="5"/>
        <v>-6.9018652436218701</v>
      </c>
      <c r="L21" s="4">
        <f t="shared" si="6"/>
        <v>10.059594408103873</v>
      </c>
      <c r="M21" s="4">
        <f t="shared" si="7"/>
        <v>47.635743841115577</v>
      </c>
      <c r="N21" s="4">
        <f t="shared" si="8"/>
        <v>101.19543965555471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7">
        <v>268.14999999999998</v>
      </c>
      <c r="C22" s="25">
        <v>82</v>
      </c>
      <c r="D22" s="4">
        <f t="shared" si="0"/>
        <v>-1.8500000000000227</v>
      </c>
      <c r="E22" s="4">
        <f t="shared" si="1"/>
        <v>-2</v>
      </c>
      <c r="F22" s="4">
        <f t="shared" si="2"/>
        <v>0.24999999999996211</v>
      </c>
      <c r="G22" s="4">
        <f t="shared" si="3"/>
        <v>81.961754448610463</v>
      </c>
      <c r="H22" s="4">
        <f t="shared" si="4"/>
        <v>-2.5041580832055126</v>
      </c>
      <c r="I22" s="4"/>
      <c r="J22" s="4"/>
      <c r="K22" s="4">
        <f t="shared" si="5"/>
        <v>-0.87709754503022452</v>
      </c>
      <c r="L22" s="4">
        <f t="shared" si="6"/>
        <v>4.4612412231851017</v>
      </c>
      <c r="M22" s="4">
        <f t="shared" si="7"/>
        <v>0.76930010349804678</v>
      </c>
      <c r="N22" s="4">
        <f t="shared" si="8"/>
        <v>19.902673251446103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271.3</v>
      </c>
      <c r="C23" s="25">
        <v>90</v>
      </c>
      <c r="D23" s="4">
        <f t="shared" si="0"/>
        <v>1.3000000000000114</v>
      </c>
      <c r="E23" s="4">
        <f t="shared" si="1"/>
        <v>1</v>
      </c>
      <c r="F23" s="4">
        <f t="shared" si="2"/>
        <v>0.50000000000001887</v>
      </c>
      <c r="G23" s="4">
        <f t="shared" si="3"/>
        <v>89.96915924780015</v>
      </c>
      <c r="H23" s="4">
        <f t="shared" si="4"/>
        <v>2.3559253477086131</v>
      </c>
      <c r="I23" s="4"/>
      <c r="J23" s="4"/>
      <c r="K23" s="4">
        <f t="shared" si="5"/>
        <v>7.1303072541594616</v>
      </c>
      <c r="L23" s="4">
        <f t="shared" si="6"/>
        <v>9.3213246540992287</v>
      </c>
      <c r="M23" s="4">
        <f t="shared" si="7"/>
        <v>50.841281538719045</v>
      </c>
      <c r="N23" s="4">
        <f t="shared" si="8"/>
        <v>86.887093307118107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266.10000000000002</v>
      </c>
      <c r="C24" s="25">
        <v>88</v>
      </c>
      <c r="D24" s="4">
        <f t="shared" si="0"/>
        <v>-3.8999999999999773</v>
      </c>
      <c r="E24" s="4">
        <f t="shared" si="1"/>
        <v>-4</v>
      </c>
      <c r="F24" s="4">
        <f t="shared" si="2"/>
        <v>0.16666666666670457</v>
      </c>
      <c r="G24" s="4">
        <f t="shared" si="3"/>
        <v>87.803121370100783</v>
      </c>
      <c r="H24" s="4">
        <f t="shared" si="4"/>
        <v>-5.8831860133223319</v>
      </c>
      <c r="I24" s="4"/>
      <c r="J24" s="4"/>
      <c r="K24" s="4">
        <f t="shared" si="5"/>
        <v>4.9642693764600949</v>
      </c>
      <c r="L24" s="4">
        <f t="shared" si="6"/>
        <v>1.0822132930682828</v>
      </c>
      <c r="M24" s="4">
        <f t="shared" si="7"/>
        <v>24.643970442059498</v>
      </c>
      <c r="N24" s="4">
        <f t="shared" si="8"/>
        <v>1.1711856116936969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264.10000000000002</v>
      </c>
      <c r="C25" s="25">
        <v>96</v>
      </c>
      <c r="D25" s="4">
        <f t="shared" si="0"/>
        <v>-5.8999999999999773</v>
      </c>
      <c r="E25" s="4">
        <f t="shared" si="1"/>
        <v>-6</v>
      </c>
      <c r="F25" s="4">
        <f t="shared" si="2"/>
        <v>0.16666666666670457</v>
      </c>
      <c r="G25" s="4">
        <f t="shared" si="3"/>
        <v>95.502887836419177</v>
      </c>
      <c r="H25" s="4">
        <f t="shared" si="4"/>
        <v>-9.7569675055489178</v>
      </c>
      <c r="I25" s="4"/>
      <c r="J25" s="4"/>
      <c r="K25" s="4">
        <f t="shared" si="5"/>
        <v>12.664035842778489</v>
      </c>
      <c r="L25" s="4">
        <f t="shared" si="6"/>
        <v>-2.791568199158303</v>
      </c>
      <c r="M25" s="4">
        <f t="shared" si="7"/>
        <v>160.37780382717827</v>
      </c>
      <c r="N25" s="4">
        <f t="shared" si="8"/>
        <v>7.7928530105519309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7">
        <v>260.55</v>
      </c>
      <c r="C26" s="25">
        <v>94</v>
      </c>
      <c r="D26" s="4">
        <f t="shared" si="0"/>
        <v>-9.4499999999999886</v>
      </c>
      <c r="E26" s="4">
        <f t="shared" si="1"/>
        <v>-10</v>
      </c>
      <c r="F26" s="4">
        <f t="shared" si="2"/>
        <v>0.91666666666668561</v>
      </c>
      <c r="G26" s="4">
        <f t="shared" si="3"/>
        <v>92.821218501415487</v>
      </c>
      <c r="H26" s="4">
        <f t="shared" si="4"/>
        <v>-14.839858352170507</v>
      </c>
      <c r="I26" s="4"/>
      <c r="J26" s="4"/>
      <c r="K26" s="4">
        <f t="shared" si="5"/>
        <v>9.9823665077747989</v>
      </c>
      <c r="L26" s="4">
        <f t="shared" si="6"/>
        <v>-7.8744590457798926</v>
      </c>
      <c r="M26" s="4">
        <f t="shared" si="7"/>
        <v>99.647641095544031</v>
      </c>
      <c r="N26" s="4">
        <f t="shared" si="8"/>
        <v>62.007105263664776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7">
        <v>258.14999999999998</v>
      </c>
      <c r="C27" s="25">
        <v>94</v>
      </c>
      <c r="D27" s="4">
        <f t="shared" si="0"/>
        <v>-11.850000000000023</v>
      </c>
      <c r="E27" s="4">
        <f t="shared" si="1"/>
        <v>-12</v>
      </c>
      <c r="F27" s="4">
        <f t="shared" si="2"/>
        <v>0.24999999999996211</v>
      </c>
      <c r="G27" s="4">
        <f t="shared" si="3"/>
        <v>92.03027441355087</v>
      </c>
      <c r="H27" s="4">
        <f t="shared" si="4"/>
        <v>-19.142324607176743</v>
      </c>
      <c r="I27" s="4"/>
      <c r="J27" s="4"/>
      <c r="K27" s="4">
        <f t="shared" si="5"/>
        <v>9.1914224199101824</v>
      </c>
      <c r="L27" s="4">
        <f t="shared" si="6"/>
        <v>-12.176925300786127</v>
      </c>
      <c r="M27" s="4">
        <f t="shared" si="7"/>
        <v>84.48224610122756</v>
      </c>
      <c r="N27" s="4">
        <f t="shared" si="8"/>
        <v>148.27750978092533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7">
        <v>259.3</v>
      </c>
      <c r="C28" s="25">
        <v>108</v>
      </c>
      <c r="D28" s="4">
        <f t="shared" si="0"/>
        <v>-10.699999999999989</v>
      </c>
      <c r="E28" s="4">
        <f t="shared" si="1"/>
        <v>-11</v>
      </c>
      <c r="F28" s="4">
        <f t="shared" si="2"/>
        <v>0.50000000000001887</v>
      </c>
      <c r="G28" s="4">
        <f t="shared" si="3"/>
        <v>106.19153001690709</v>
      </c>
      <c r="H28" s="4">
        <f t="shared" si="4"/>
        <v>-19.681436753151893</v>
      </c>
      <c r="I28" s="4"/>
      <c r="J28" s="4"/>
      <c r="K28" s="4">
        <f t="shared" si="5"/>
        <v>23.352678023266407</v>
      </c>
      <c r="L28" s="4">
        <f t="shared" si="6"/>
        <v>-12.716037446761277</v>
      </c>
      <c r="M28" s="4">
        <f t="shared" si="7"/>
        <v>545.34757085834985</v>
      </c>
      <c r="N28" s="4">
        <f t="shared" si="8"/>
        <v>161.69760834743505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7">
        <v>263.05</v>
      </c>
      <c r="C29" s="25">
        <v>118</v>
      </c>
      <c r="D29" s="4">
        <f t="shared" si="0"/>
        <v>-6.9499999999999886</v>
      </c>
      <c r="E29" s="4">
        <f t="shared" si="1"/>
        <v>-7</v>
      </c>
      <c r="F29" s="4">
        <f t="shared" si="2"/>
        <v>8.3333333333352286E-2</v>
      </c>
      <c r="G29" s="4">
        <f t="shared" si="3"/>
        <v>117.14123771754802</v>
      </c>
      <c r="H29" s="4">
        <f t="shared" si="4"/>
        <v>-14.21022258801405</v>
      </c>
      <c r="I29" s="4"/>
      <c r="J29" s="4"/>
      <c r="K29" s="4">
        <f t="shared" si="5"/>
        <v>34.302385723907335</v>
      </c>
      <c r="L29" s="4">
        <f t="shared" si="6"/>
        <v>-7.244823281623435</v>
      </c>
      <c r="M29" s="4">
        <f t="shared" si="7"/>
        <v>1176.6536663517218</v>
      </c>
      <c r="N29" s="4">
        <f t="shared" si="8"/>
        <v>52.487464381952961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7">
        <v>267.2</v>
      </c>
      <c r="C30" s="25">
        <v>112</v>
      </c>
      <c r="D30" s="4">
        <f t="shared" si="0"/>
        <v>-2.8000000000000114</v>
      </c>
      <c r="E30" s="4">
        <f t="shared" si="1"/>
        <v>-3</v>
      </c>
      <c r="F30" s="4">
        <f t="shared" si="2"/>
        <v>0.33333333333331439</v>
      </c>
      <c r="G30" s="4">
        <f t="shared" si="3"/>
        <v>111.87871646991475</v>
      </c>
      <c r="H30" s="4">
        <f t="shared" si="4"/>
        <v>-5.2108349661476625</v>
      </c>
      <c r="I30" s="4"/>
      <c r="J30" s="4"/>
      <c r="K30" s="4">
        <f t="shared" si="5"/>
        <v>29.039864476274062</v>
      </c>
      <c r="L30" s="4">
        <f t="shared" si="6"/>
        <v>1.7545643402429523</v>
      </c>
      <c r="M30" s="4">
        <f t="shared" si="7"/>
        <v>843.31372880036417</v>
      </c>
      <c r="N30" s="4">
        <f t="shared" si="8"/>
        <v>3.0784960240521864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7">
        <v>268.39999999999998</v>
      </c>
      <c r="C31" s="25">
        <v>116</v>
      </c>
      <c r="D31" s="4">
        <f t="shared" si="0"/>
        <v>-1.6000000000000227</v>
      </c>
      <c r="E31" s="4">
        <f t="shared" si="1"/>
        <v>-2</v>
      </c>
      <c r="F31" s="4">
        <f>IF(B31,((D31-E31)/60*100)," ")</f>
        <v>0.66666666666662877</v>
      </c>
      <c r="G31" s="4">
        <f t="shared" si="3"/>
        <v>115.96859197681756</v>
      </c>
      <c r="H31" s="4">
        <f t="shared" si="4"/>
        <v>-2.6991989393906102</v>
      </c>
      <c r="I31" s="4"/>
      <c r="J31" s="4"/>
      <c r="K31" s="4">
        <f t="shared" si="5"/>
        <v>33.129739983176876</v>
      </c>
      <c r="L31" s="4">
        <f t="shared" si="6"/>
        <v>4.266200367000005</v>
      </c>
      <c r="M31" s="4">
        <f t="shared" si="7"/>
        <v>1097.5796713529085</v>
      </c>
      <c r="N31" s="4">
        <f t="shared" si="8"/>
        <v>18.200465571390978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7">
        <v>269.35000000000002</v>
      </c>
      <c r="C32" s="25">
        <v>120</v>
      </c>
      <c r="D32" s="4">
        <f t="shared" si="0"/>
        <v>-0.64999999999997726</v>
      </c>
      <c r="E32" s="4">
        <f t="shared" si="1"/>
        <v>-1</v>
      </c>
      <c r="F32" s="4">
        <f t="shared" si="2"/>
        <v>0.58333333333337123</v>
      </c>
      <c r="G32" s="4">
        <f t="shared" si="3"/>
        <v>119.99682691586129</v>
      </c>
      <c r="H32" s="4">
        <f>IF(B32,(C32*SIN(PI()/180*(E32+F32)))," ")</f>
        <v>-0.87265693421051727</v>
      </c>
      <c r="I32" s="4"/>
      <c r="J32" s="4"/>
      <c r="K32" s="4">
        <f t="shared" si="5"/>
        <v>37.157974922220603</v>
      </c>
      <c r="L32" s="4">
        <f t="shared" si="6"/>
        <v>6.0927423721800977</v>
      </c>
      <c r="M32" s="4">
        <f t="shared" si="7"/>
        <v>1380.7151003203753</v>
      </c>
      <c r="N32" s="4">
        <f t="shared" si="8"/>
        <v>37.121509613758768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270.39999999999998</v>
      </c>
      <c r="C33" s="25">
        <v>126</v>
      </c>
      <c r="D33" s="4">
        <f t="shared" si="0"/>
        <v>0.39999999999997726</v>
      </c>
      <c r="E33" s="4">
        <f t="shared" si="1"/>
        <v>0</v>
      </c>
      <c r="F33" s="4">
        <f t="shared" si="2"/>
        <v>0.66666666666662877</v>
      </c>
      <c r="G33" s="4">
        <f t="shared" si="3"/>
        <v>125.99147080847403</v>
      </c>
      <c r="H33" s="4">
        <f t="shared" si="4"/>
        <v>1.4660434909759406</v>
      </c>
      <c r="I33" s="4"/>
      <c r="J33" s="4"/>
      <c r="K33" s="4">
        <f t="shared" si="5"/>
        <v>43.152618814833346</v>
      </c>
      <c r="L33" s="4">
        <f t="shared" si="6"/>
        <v>8.4314427973665556</v>
      </c>
      <c r="M33" s="4">
        <f t="shared" si="7"/>
        <v>1862.1485105783088</v>
      </c>
      <c r="N33" s="4">
        <f t="shared" si="8"/>
        <v>71.089227645264373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270.45</v>
      </c>
      <c r="C34" s="25">
        <v>128</v>
      </c>
      <c r="D34" s="4">
        <f t="shared" si="0"/>
        <v>0.44999999999998863</v>
      </c>
      <c r="E34" s="4">
        <f t="shared" si="1"/>
        <v>0</v>
      </c>
      <c r="F34" s="4">
        <f t="shared" si="2"/>
        <v>0.74999999999998102</v>
      </c>
      <c r="G34" s="4">
        <f t="shared" si="3"/>
        <v>127.9890339294729</v>
      </c>
      <c r="H34" s="4">
        <f t="shared" si="4"/>
        <v>1.6754682331320458</v>
      </c>
      <c r="I34" s="4"/>
      <c r="J34" s="4"/>
      <c r="K34" s="4">
        <f>IF(B34,SUM(G34,-$I$12)," ")</f>
        <v>45.150181935832208</v>
      </c>
      <c r="L34" s="4">
        <f t="shared" si="6"/>
        <v>8.6408675395226613</v>
      </c>
      <c r="M34" s="4">
        <f t="shared" si="7"/>
        <v>2038.5389288387491</v>
      </c>
      <c r="N34" s="4">
        <f t="shared" si="8"/>
        <v>74.664591835576417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7">
        <v>267.5</v>
      </c>
      <c r="C35" s="26">
        <v>132</v>
      </c>
      <c r="D35" s="7">
        <f t="shared" si="0"/>
        <v>-2.5</v>
      </c>
      <c r="E35" s="7">
        <f t="shared" si="1"/>
        <v>-3</v>
      </c>
      <c r="F35" s="7">
        <f t="shared" si="2"/>
        <v>0.83333333333333337</v>
      </c>
      <c r="G35" s="7">
        <f t="shared" si="3"/>
        <v>131.90563061600028</v>
      </c>
      <c r="H35" s="7">
        <f t="shared" si="4"/>
        <v>-4.9904520632195979</v>
      </c>
      <c r="I35" s="7"/>
      <c r="J35" s="7"/>
      <c r="K35" s="7">
        <f t="shared" si="5"/>
        <v>49.066778622359593</v>
      </c>
      <c r="L35" s="7">
        <f t="shared" si="6"/>
        <v>1.9749472431710169</v>
      </c>
      <c r="M35" s="7">
        <f t="shared" si="7"/>
        <v>2407.5487643756442</v>
      </c>
      <c r="N35" s="7">
        <f>IF(B35,POWER(L35,2)," ")</f>
        <v>3.9004166133087996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230.55</v>
      </c>
      <c r="C38" s="25">
        <v>160</v>
      </c>
      <c r="D38" s="4">
        <f t="shared" ref="D38:D61" si="9">IF(B38,B38-$C$4," ")</f>
        <v>-39.449999999999989</v>
      </c>
      <c r="E38" s="4">
        <f t="shared" ref="E38:E61" si="10">IF(B38,INT(D38)," ")</f>
        <v>-40</v>
      </c>
      <c r="F38" s="4">
        <f t="shared" ref="F38:F61" si="11">IF(B38,((D38-E38)/60*100)," ")</f>
        <v>0.91666666666668561</v>
      </c>
      <c r="G38" s="4">
        <f t="shared" ref="G38:G61" si="12">IF(B38,C38*COS(PI()/180*(E38+F38))," ")</f>
        <v>124.19677286190074</v>
      </c>
      <c r="H38" s="4">
        <f t="shared" ref="H38:H61" si="13">IF(B38,(C38*SIN(PI()/180*(E38+F38)))," ")</f>
        <v>-100.87200608042566</v>
      </c>
      <c r="I38" s="4">
        <f>SUM(G38:G61)/E6</f>
        <v>78.880305505723911</v>
      </c>
      <c r="J38" s="4">
        <f>SUM(H38:H61)/E6</f>
        <v>-116.91867370054128</v>
      </c>
      <c r="K38" s="4">
        <f t="shared" ref="K38:K61" si="14">IF(B38,SUM(G38,-$I$12)," ")</f>
        <v>41.357920868260052</v>
      </c>
      <c r="L38" s="4">
        <f t="shared" ref="L38:L61" si="15">IF(B38,SUM(H38,-$J$12)," ")</f>
        <v>-93.906606774035055</v>
      </c>
      <c r="M38" s="4">
        <f t="shared" ref="M38:M61" si="16">IF(B38,POWER(K38,2)," ")</f>
        <v>1710.4776185452604</v>
      </c>
      <c r="N38" s="4">
        <f t="shared" ref="N38:N61" si="17">IF(B38,POWER(L38,2)," ")</f>
        <v>8818.4507958132472</v>
      </c>
      <c r="O38" s="4">
        <f>E6-1</f>
        <v>23</v>
      </c>
      <c r="P38" s="4">
        <f>SUM(M38:M61)</f>
        <v>16366.832920944242</v>
      </c>
      <c r="Q38" s="4">
        <f>SUM(N38:N61)</f>
        <v>291240.69788839354</v>
      </c>
      <c r="R38" s="4">
        <f>PRODUCT(P38,1/$O$38)</f>
        <v>711.60143134540181</v>
      </c>
      <c r="S38" s="4">
        <f>PRODUCT(Q38,1/$O$38)</f>
        <v>12662.639038625806</v>
      </c>
      <c r="T38" s="4">
        <f>SQRT(R38)</f>
        <v>26.67585858684593</v>
      </c>
      <c r="U38" s="4">
        <f>SQRT(S38)</f>
        <v>112.5283921444975</v>
      </c>
      <c r="V38" s="4">
        <f>PRODUCT(T38:U38)</f>
        <v>3001.79147585176</v>
      </c>
      <c r="W38" s="10">
        <f>SQRT(V38)</f>
        <v>54.788607172036777</v>
      </c>
    </row>
    <row r="39" spans="1:23">
      <c r="A39" s="3">
        <v>2</v>
      </c>
      <c r="B39" s="25">
        <v>224.51</v>
      </c>
      <c r="C39" s="25">
        <v>164</v>
      </c>
      <c r="D39" s="4">
        <f t="shared" si="9"/>
        <v>-45.490000000000009</v>
      </c>
      <c r="E39" s="4">
        <f t="shared" si="10"/>
        <v>-46</v>
      </c>
      <c r="F39" s="4">
        <f t="shared" si="11"/>
        <v>0.84999999999998477</v>
      </c>
      <c r="G39" s="4">
        <f t="shared" si="12"/>
        <v>115.66151805330527</v>
      </c>
      <c r="H39" s="4">
        <f t="shared" si="13"/>
        <v>-116.26871136124687</v>
      </c>
      <c r="I39" s="4"/>
      <c r="J39" s="4"/>
      <c r="K39" s="4">
        <f t="shared" si="14"/>
        <v>32.822666059664584</v>
      </c>
      <c r="L39" s="4">
        <f t="shared" si="15"/>
        <v>-109.30331205485626</v>
      </c>
      <c r="M39" s="4">
        <f t="shared" si="16"/>
        <v>1077.3274072642575</v>
      </c>
      <c r="N39" s="4">
        <f t="shared" si="17"/>
        <v>11947.214026161286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223.2</v>
      </c>
      <c r="C40" s="25">
        <v>168</v>
      </c>
      <c r="D40" s="4">
        <f t="shared" si="9"/>
        <v>-46.800000000000011</v>
      </c>
      <c r="E40" s="4">
        <f t="shared" si="10"/>
        <v>-47</v>
      </c>
      <c r="F40" s="4">
        <f t="shared" si="11"/>
        <v>0.33333333333331439</v>
      </c>
      <c r="G40" s="4">
        <f t="shared" si="12"/>
        <v>115.28859516194721</v>
      </c>
      <c r="H40" s="4">
        <f t="shared" si="13"/>
        <v>-122.19877178427222</v>
      </c>
      <c r="I40" s="4"/>
      <c r="J40" s="4"/>
      <c r="K40" s="4">
        <f t="shared" si="14"/>
        <v>32.449743168306526</v>
      </c>
      <c r="L40" s="4">
        <f t="shared" si="15"/>
        <v>-115.23337247788162</v>
      </c>
      <c r="M40" s="4">
        <f t="shared" si="16"/>
        <v>1052.9858316890561</v>
      </c>
      <c r="N40" s="4">
        <f t="shared" si="17"/>
        <v>13278.730132626204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220.4</v>
      </c>
      <c r="C41" s="25">
        <v>166</v>
      </c>
      <c r="D41" s="4">
        <f t="shared" si="9"/>
        <v>-49.599999999999994</v>
      </c>
      <c r="E41" s="4">
        <f t="shared" si="10"/>
        <v>-50</v>
      </c>
      <c r="F41" s="4">
        <f t="shared" si="11"/>
        <v>0.66666666666667618</v>
      </c>
      <c r="G41" s="4">
        <f t="shared" si="12"/>
        <v>108.17509998436159</v>
      </c>
      <c r="H41" s="4">
        <f t="shared" si="13"/>
        <v>-125.91325483591221</v>
      </c>
      <c r="I41" s="4"/>
      <c r="J41" s="4"/>
      <c r="K41" s="4">
        <f t="shared" si="14"/>
        <v>25.336247990720906</v>
      </c>
      <c r="L41" s="4">
        <f t="shared" si="15"/>
        <v>-118.9478555295216</v>
      </c>
      <c r="M41" s="4">
        <f t="shared" si="16"/>
        <v>641.92546224730916</v>
      </c>
      <c r="N41" s="4">
        <f t="shared" si="17"/>
        <v>14148.592335071944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220.4</v>
      </c>
      <c r="C42" s="25">
        <v>160</v>
      </c>
      <c r="D42" s="4">
        <f t="shared" si="9"/>
        <v>-49.599999999999994</v>
      </c>
      <c r="E42" s="4">
        <f t="shared" si="10"/>
        <v>-50</v>
      </c>
      <c r="F42" s="4">
        <f t="shared" si="11"/>
        <v>0.66666666666667618</v>
      </c>
      <c r="G42" s="4">
        <f t="shared" si="12"/>
        <v>104.26515661143286</v>
      </c>
      <c r="H42" s="4">
        <f t="shared" si="13"/>
        <v>-121.36217333581899</v>
      </c>
      <c r="I42" s="4"/>
      <c r="J42" s="4"/>
      <c r="K42" s="4">
        <f t="shared" si="14"/>
        <v>21.426304617792169</v>
      </c>
      <c r="L42" s="4">
        <f t="shared" si="15"/>
        <v>-114.39677402942839</v>
      </c>
      <c r="M42" s="4">
        <f t="shared" si="16"/>
        <v>459.08652957442206</v>
      </c>
      <c r="N42" s="4">
        <f t="shared" si="17"/>
        <v>13086.621908340101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220.4</v>
      </c>
      <c r="C43" s="25">
        <v>156</v>
      </c>
      <c r="D43" s="4">
        <f t="shared" si="9"/>
        <v>-49.599999999999994</v>
      </c>
      <c r="E43" s="4">
        <f t="shared" si="10"/>
        <v>-50</v>
      </c>
      <c r="F43" s="4">
        <f t="shared" si="11"/>
        <v>0.66666666666667618</v>
      </c>
      <c r="G43" s="4">
        <f t="shared" si="12"/>
        <v>101.65852769614703</v>
      </c>
      <c r="H43" s="4">
        <f t="shared" si="13"/>
        <v>-118.32811900242352</v>
      </c>
      <c r="I43" s="4"/>
      <c r="J43" s="4"/>
      <c r="K43" s="4">
        <f t="shared" si="14"/>
        <v>18.819675702506345</v>
      </c>
      <c r="L43" s="4">
        <f t="shared" si="15"/>
        <v>-111.36271969603291</v>
      </c>
      <c r="M43" s="4">
        <f t="shared" si="16"/>
        <v>354.18019354750766</v>
      </c>
      <c r="N43" s="4">
        <f t="shared" si="17"/>
        <v>12401.655338097196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219.4</v>
      </c>
      <c r="C44" s="25">
        <v>152</v>
      </c>
      <c r="D44" s="4">
        <f t="shared" si="9"/>
        <v>-50.599999999999994</v>
      </c>
      <c r="E44" s="4">
        <f t="shared" si="10"/>
        <v>-51</v>
      </c>
      <c r="F44" s="4">
        <f t="shared" si="11"/>
        <v>0.66666666666667618</v>
      </c>
      <c r="G44" s="4">
        <f t="shared" si="12"/>
        <v>97.024653820497917</v>
      </c>
      <c r="H44" s="4">
        <f t="shared" si="13"/>
        <v>-117.00519882044787</v>
      </c>
      <c r="I44" s="4"/>
      <c r="J44" s="4"/>
      <c r="K44" s="4">
        <f t="shared" si="14"/>
        <v>14.185801826857229</v>
      </c>
      <c r="L44" s="4">
        <f t="shared" si="15"/>
        <v>-110.03979951405726</v>
      </c>
      <c r="M44" s="4">
        <f t="shared" si="16"/>
        <v>201.23697347086591</v>
      </c>
      <c r="N44" s="4">
        <f t="shared" si="17"/>
        <v>12108.757477093917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>
        <v>219.4</v>
      </c>
      <c r="C45" s="25">
        <v>146</v>
      </c>
      <c r="D45" s="4">
        <f t="shared" si="9"/>
        <v>-50.599999999999994</v>
      </c>
      <c r="E45" s="4">
        <f t="shared" si="10"/>
        <v>-51</v>
      </c>
      <c r="F45" s="4">
        <f t="shared" si="11"/>
        <v>0.66666666666667618</v>
      </c>
      <c r="G45" s="4">
        <f t="shared" si="12"/>
        <v>93.194733274951943</v>
      </c>
      <c r="H45" s="4">
        <f t="shared" si="13"/>
        <v>-112.38657255121967</v>
      </c>
      <c r="I45" s="4"/>
      <c r="J45" s="4"/>
      <c r="K45" s="4">
        <f t="shared" si="14"/>
        <v>10.355881281311255</v>
      </c>
      <c r="L45" s="4">
        <f t="shared" si="15"/>
        <v>-105.42117324482906</v>
      </c>
      <c r="M45" s="4">
        <f t="shared" si="16"/>
        <v>107.24427711261285</v>
      </c>
      <c r="N45" s="4">
        <f t="shared" si="17"/>
        <v>11113.623768316264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220.25</v>
      </c>
      <c r="C46" s="25">
        <v>140</v>
      </c>
      <c r="D46" s="4">
        <f t="shared" si="9"/>
        <v>-49.75</v>
      </c>
      <c r="E46" s="4">
        <f t="shared" si="10"/>
        <v>-50</v>
      </c>
      <c r="F46" s="4">
        <f t="shared" si="11"/>
        <v>0.41666666666666669</v>
      </c>
      <c r="G46" s="4">
        <f t="shared" si="12"/>
        <v>90.767795461486656</v>
      </c>
      <c r="H46" s="4">
        <f t="shared" si="13"/>
        <v>-106.58896428365237</v>
      </c>
      <c r="I46" s="4"/>
      <c r="J46" s="4"/>
      <c r="K46" s="4">
        <f t="shared" si="14"/>
        <v>7.9289434678459685</v>
      </c>
      <c r="L46" s="4">
        <f t="shared" si="15"/>
        <v>-99.623564977261765</v>
      </c>
      <c r="M46" s="4">
        <f t="shared" si="16"/>
        <v>62.868144516297249</v>
      </c>
      <c r="N46" s="4">
        <f t="shared" si="17"/>
        <v>9924.8546987786976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218.1</v>
      </c>
      <c r="C47" s="25">
        <v>146</v>
      </c>
      <c r="D47" s="4">
        <f t="shared" si="9"/>
        <v>-51.900000000000006</v>
      </c>
      <c r="E47" s="4">
        <f t="shared" si="10"/>
        <v>-52</v>
      </c>
      <c r="F47" s="4">
        <f t="shared" si="11"/>
        <v>0.16666666666665719</v>
      </c>
      <c r="G47" s="4">
        <f t="shared" si="12"/>
        <v>90.220860267276663</v>
      </c>
      <c r="H47" s="4">
        <f t="shared" si="13"/>
        <v>-114.78761419522814</v>
      </c>
      <c r="I47" s="4"/>
      <c r="J47" s="4"/>
      <c r="K47" s="4">
        <f t="shared" si="14"/>
        <v>7.3820082736359751</v>
      </c>
      <c r="L47" s="4">
        <f t="shared" si="15"/>
        <v>-107.82221488883754</v>
      </c>
      <c r="M47" s="4">
        <f t="shared" si="16"/>
        <v>54.494046152029988</v>
      </c>
      <c r="N47" s="4">
        <f t="shared" si="17"/>
        <v>11625.630023534659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217.45</v>
      </c>
      <c r="C48" s="25">
        <v>160</v>
      </c>
      <c r="D48" s="4">
        <f t="shared" si="9"/>
        <v>-52.550000000000011</v>
      </c>
      <c r="E48" s="4">
        <f t="shared" si="10"/>
        <v>-53</v>
      </c>
      <c r="F48" s="4">
        <f t="shared" si="11"/>
        <v>0.74999999999998102</v>
      </c>
      <c r="G48" s="4">
        <f t="shared" si="12"/>
        <v>97.954764805511857</v>
      </c>
      <c r="H48" s="4">
        <f t="shared" si="13"/>
        <v>-126.51033179901496</v>
      </c>
      <c r="I48" s="4"/>
      <c r="J48" s="4"/>
      <c r="K48" s="4">
        <f t="shared" si="14"/>
        <v>15.115912811871169</v>
      </c>
      <c r="L48" s="4">
        <f t="shared" si="15"/>
        <v>-119.54493249262435</v>
      </c>
      <c r="M48" s="4">
        <f t="shared" si="16"/>
        <v>228.49082013609095</v>
      </c>
      <c r="N48" s="4">
        <f t="shared" si="17"/>
        <v>14290.990884666115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>
        <v>214.05</v>
      </c>
      <c r="C49" s="25">
        <v>156</v>
      </c>
      <c r="D49" s="4">
        <f t="shared" si="9"/>
        <v>-55.949999999999989</v>
      </c>
      <c r="E49" s="4">
        <f t="shared" si="10"/>
        <v>-56</v>
      </c>
      <c r="F49" s="4">
        <f t="shared" si="11"/>
        <v>8.3333333333352286E-2</v>
      </c>
      <c r="G49" s="4">
        <f t="shared" si="12"/>
        <v>87.422103266118356</v>
      </c>
      <c r="H49" s="4">
        <f t="shared" si="13"/>
        <v>-129.20284772607815</v>
      </c>
      <c r="I49" s="4"/>
      <c r="J49" s="4"/>
      <c r="K49" s="4">
        <f t="shared" si="14"/>
        <v>4.5832512724776677</v>
      </c>
      <c r="L49" s="4">
        <f t="shared" si="15"/>
        <v>-122.23744841968754</v>
      </c>
      <c r="M49" s="4">
        <f t="shared" si="16"/>
        <v>21.006192226668162</v>
      </c>
      <c r="N49" s="4">
        <f t="shared" si="17"/>
        <v>14941.993796155772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>
        <v>207.05</v>
      </c>
      <c r="C50" s="25">
        <v>146</v>
      </c>
      <c r="D50" s="4">
        <f t="shared" si="9"/>
        <v>-62.949999999999989</v>
      </c>
      <c r="E50" s="4">
        <f t="shared" si="10"/>
        <v>-63</v>
      </c>
      <c r="F50" s="4">
        <f t="shared" si="11"/>
        <v>8.3333333333352286E-2</v>
      </c>
      <c r="G50" s="4">
        <f t="shared" si="12"/>
        <v>66.471746591164418</v>
      </c>
      <c r="H50" s="4">
        <f t="shared" si="13"/>
        <v>-129.99041081987556</v>
      </c>
      <c r="I50" s="4"/>
      <c r="J50" s="4"/>
      <c r="K50" s="4">
        <f t="shared" si="14"/>
        <v>-16.36710540247627</v>
      </c>
      <c r="L50" s="4">
        <f t="shared" si="15"/>
        <v>-123.02501151348496</v>
      </c>
      <c r="M50" s="4">
        <f t="shared" si="16"/>
        <v>267.88213925576787</v>
      </c>
      <c r="N50" s="4">
        <f t="shared" si="17"/>
        <v>15135.153457893106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>
        <v>211.1</v>
      </c>
      <c r="C51" s="25">
        <v>140</v>
      </c>
      <c r="D51" s="4">
        <f t="shared" si="9"/>
        <v>-58.900000000000006</v>
      </c>
      <c r="E51" s="4">
        <f t="shared" si="10"/>
        <v>-59</v>
      </c>
      <c r="F51" s="4">
        <f t="shared" si="11"/>
        <v>0.16666666666665719</v>
      </c>
      <c r="G51" s="4">
        <f t="shared" si="12"/>
        <v>72.454100737160758</v>
      </c>
      <c r="H51" s="4">
        <f t="shared" si="13"/>
        <v>-119.79316878006593</v>
      </c>
      <c r="I51" s="4"/>
      <c r="J51" s="4"/>
      <c r="K51" s="4">
        <f t="shared" si="14"/>
        <v>-10.38475125647993</v>
      </c>
      <c r="L51" s="4">
        <f t="shared" si="15"/>
        <v>-112.82776947367532</v>
      </c>
      <c r="M51" s="4">
        <f t="shared" si="16"/>
        <v>107.8430586589615</v>
      </c>
      <c r="N51" s="4">
        <f t="shared" si="17"/>
        <v>12730.105564404819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>
        <v>210.1</v>
      </c>
      <c r="C52" s="25">
        <v>134</v>
      </c>
      <c r="D52" s="4">
        <f t="shared" si="9"/>
        <v>-59.900000000000006</v>
      </c>
      <c r="E52" s="4">
        <f t="shared" si="10"/>
        <v>-60</v>
      </c>
      <c r="F52" s="4">
        <f t="shared" si="11"/>
        <v>0.16666666666665719</v>
      </c>
      <c r="G52" s="4">
        <f t="shared" si="12"/>
        <v>67.337284275717096</v>
      </c>
      <c r="H52" s="4">
        <f t="shared" si="13"/>
        <v>-115.8520183094419</v>
      </c>
      <c r="I52" s="4"/>
      <c r="J52" s="4"/>
      <c r="K52" s="4">
        <f t="shared" si="14"/>
        <v>-15.501567717923592</v>
      </c>
      <c r="L52" s="4">
        <f t="shared" si="15"/>
        <v>-108.88661900305129</v>
      </c>
      <c r="M52" s="4">
        <f t="shared" si="16"/>
        <v>240.29860171337086</v>
      </c>
      <c r="N52" s="4">
        <f t="shared" si="17"/>
        <v>11856.295797915651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>
        <v>208.55</v>
      </c>
      <c r="C53" s="25">
        <v>130</v>
      </c>
      <c r="D53" s="4">
        <f t="shared" si="9"/>
        <v>-61.449999999999989</v>
      </c>
      <c r="E53" s="4">
        <f t="shared" si="10"/>
        <v>-62</v>
      </c>
      <c r="F53" s="4">
        <f t="shared" si="11"/>
        <v>0.91666666666668561</v>
      </c>
      <c r="G53" s="4">
        <f t="shared" si="12"/>
        <v>62.859813264653837</v>
      </c>
      <c r="H53" s="4">
        <f t="shared" si="13"/>
        <v>-113.79210814609618</v>
      </c>
      <c r="I53" s="4"/>
      <c r="J53" s="4"/>
      <c r="K53" s="4">
        <f t="shared" si="14"/>
        <v>-19.979038728986851</v>
      </c>
      <c r="L53" s="4">
        <f t="shared" si="15"/>
        <v>-106.82670883970557</v>
      </c>
      <c r="M53" s="4">
        <f t="shared" si="16"/>
        <v>399.16198853435651</v>
      </c>
      <c r="N53" s="4">
        <f t="shared" si="17"/>
        <v>11411.945721523229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>
        <v>208.05</v>
      </c>
      <c r="C54" s="25">
        <v>128</v>
      </c>
      <c r="D54" s="4">
        <f t="shared" si="9"/>
        <v>-61.949999999999989</v>
      </c>
      <c r="E54" s="4">
        <f t="shared" si="10"/>
        <v>-62</v>
      </c>
      <c r="F54" s="4">
        <f t="shared" si="11"/>
        <v>8.3333333333352286E-2</v>
      </c>
      <c r="G54" s="4">
        <f t="shared" si="12"/>
        <v>60.256673406924605</v>
      </c>
      <c r="H54" s="4">
        <f t="shared" si="13"/>
        <v>-112.92977158363168</v>
      </c>
      <c r="I54" s="4"/>
      <c r="J54" s="4"/>
      <c r="K54" s="4">
        <f t="shared" si="14"/>
        <v>-22.582178586716083</v>
      </c>
      <c r="L54" s="4">
        <f t="shared" si="15"/>
        <v>-105.96437227724107</v>
      </c>
      <c r="M54" s="4">
        <f t="shared" si="16"/>
        <v>509.95478972233838</v>
      </c>
      <c r="N54" s="4">
        <f t="shared" si="17"/>
        <v>11228.448192109736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>
        <v>207.35</v>
      </c>
      <c r="C55" s="25">
        <v>128</v>
      </c>
      <c r="D55" s="4">
        <f t="shared" si="9"/>
        <v>-62.650000000000006</v>
      </c>
      <c r="E55" s="4">
        <f t="shared" si="10"/>
        <v>-63</v>
      </c>
      <c r="F55" s="4">
        <f t="shared" si="11"/>
        <v>0.58333333333332382</v>
      </c>
      <c r="G55" s="4">
        <f t="shared" si="12"/>
        <v>59.268893356890153</v>
      </c>
      <c r="H55" s="4">
        <f t="shared" si="13"/>
        <v>-113.45130356346543</v>
      </c>
      <c r="I55" s="4"/>
      <c r="J55" s="4"/>
      <c r="K55" s="4">
        <f t="shared" si="14"/>
        <v>-23.569958636750535</v>
      </c>
      <c r="L55" s="4">
        <f t="shared" si="15"/>
        <v>-106.48590425707482</v>
      </c>
      <c r="M55" s="4">
        <f t="shared" si="16"/>
        <v>555.54295013813112</v>
      </c>
      <c r="N55" s="4">
        <f t="shared" si="17"/>
        <v>11339.247805446905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>
        <v>204.25</v>
      </c>
      <c r="C56" s="25">
        <v>132</v>
      </c>
      <c r="D56" s="4">
        <f t="shared" si="9"/>
        <v>-65.75</v>
      </c>
      <c r="E56" s="4">
        <f t="shared" si="10"/>
        <v>-66</v>
      </c>
      <c r="F56" s="4">
        <f t="shared" si="11"/>
        <v>0.41666666666666669</v>
      </c>
      <c r="G56" s="4">
        <f t="shared" si="12"/>
        <v>54.564750171617042</v>
      </c>
      <c r="H56" s="4">
        <f t="shared" si="13"/>
        <v>-120.19437606938611</v>
      </c>
      <c r="I56" s="4"/>
      <c r="J56" s="4"/>
      <c r="K56" s="4">
        <f t="shared" si="14"/>
        <v>-28.274101822023646</v>
      </c>
      <c r="L56" s="4">
        <f t="shared" si="15"/>
        <v>-113.2289767629955</v>
      </c>
      <c r="M56" s="4">
        <f t="shared" si="16"/>
        <v>799.42483384216087</v>
      </c>
      <c r="N56" s="4">
        <f t="shared" si="17"/>
        <v>12820.801178794974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>
        <v>203.55</v>
      </c>
      <c r="C57" s="25">
        <v>130</v>
      </c>
      <c r="D57" s="4">
        <f t="shared" si="9"/>
        <v>-66.449999999999989</v>
      </c>
      <c r="E57" s="4">
        <f t="shared" si="10"/>
        <v>-67</v>
      </c>
      <c r="F57" s="4">
        <f t="shared" si="11"/>
        <v>0.91666666666668561</v>
      </c>
      <c r="G57" s="4">
        <f t="shared" si="12"/>
        <v>52.702976992990493</v>
      </c>
      <c r="H57" s="4">
        <f t="shared" si="13"/>
        <v>-118.83768853388354</v>
      </c>
      <c r="I57" s="4"/>
      <c r="J57" s="4"/>
      <c r="K57" s="4">
        <f t="shared" si="14"/>
        <v>-30.135875000650195</v>
      </c>
      <c r="L57" s="4">
        <f t="shared" si="15"/>
        <v>-111.87228922749293</v>
      </c>
      <c r="M57" s="4">
        <f t="shared" si="16"/>
        <v>908.17096205481334</v>
      </c>
      <c r="N57" s="4">
        <f t="shared" si="17"/>
        <v>12515.409096999831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>
        <v>204.3</v>
      </c>
      <c r="C58" s="25">
        <v>126</v>
      </c>
      <c r="D58" s="4">
        <f t="shared" si="9"/>
        <v>-65.699999999999989</v>
      </c>
      <c r="E58" s="4">
        <f t="shared" si="10"/>
        <v>-66</v>
      </c>
      <c r="F58" s="4">
        <f t="shared" si="11"/>
        <v>0.50000000000001887</v>
      </c>
      <c r="G58" s="4">
        <f t="shared" si="12"/>
        <v>52.251348574686162</v>
      </c>
      <c r="H58" s="4">
        <f t="shared" si="13"/>
        <v>-114.65512013044443</v>
      </c>
      <c r="I58" s="4"/>
      <c r="J58" s="4"/>
      <c r="K58" s="4">
        <f t="shared" si="14"/>
        <v>-30.587503418954526</v>
      </c>
      <c r="L58" s="4">
        <f t="shared" si="15"/>
        <v>-107.68972082405382</v>
      </c>
      <c r="M58" s="4">
        <f t="shared" si="16"/>
        <v>935.59536540455485</v>
      </c>
      <c r="N58" s="4">
        <f t="shared" si="17"/>
        <v>11597.075971162651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>
        <v>202.5</v>
      </c>
      <c r="C59" s="25">
        <v>122</v>
      </c>
      <c r="D59" s="4">
        <f t="shared" si="9"/>
        <v>-67.5</v>
      </c>
      <c r="E59" s="4">
        <f t="shared" si="10"/>
        <v>-68</v>
      </c>
      <c r="F59" s="4">
        <f t="shared" si="11"/>
        <v>0.83333333333333337</v>
      </c>
      <c r="G59" s="4">
        <f t="shared" si="12"/>
        <v>47.342324368181252</v>
      </c>
      <c r="H59" s="4">
        <f t="shared" si="13"/>
        <v>-112.4397808758889</v>
      </c>
      <c r="I59" s="4"/>
      <c r="J59" s="4"/>
      <c r="K59" s="4">
        <f t="shared" si="14"/>
        <v>-35.496527625459436</v>
      </c>
      <c r="L59" s="4">
        <f t="shared" si="15"/>
        <v>-105.47438156949829</v>
      </c>
      <c r="M59" s="4">
        <f t="shared" si="16"/>
        <v>1260.0034734650048</v>
      </c>
      <c r="N59" s="4">
        <f t="shared" si="17"/>
        <v>11124.84516746812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>
        <v>197</v>
      </c>
      <c r="C60" s="25">
        <v>118</v>
      </c>
      <c r="D60" s="4">
        <f t="shared" si="9"/>
        <v>-73</v>
      </c>
      <c r="E60" s="4">
        <f t="shared" si="10"/>
        <v>-73</v>
      </c>
      <c r="F60" s="4">
        <f t="shared" si="11"/>
        <v>0</v>
      </c>
      <c r="G60" s="4">
        <f t="shared" si="12"/>
        <v>34.499861157282936</v>
      </c>
      <c r="H60" s="4">
        <f t="shared" si="13"/>
        <v>-112.84396120363819</v>
      </c>
      <c r="I60" s="4"/>
      <c r="J60" s="4"/>
      <c r="K60" s="4">
        <f t="shared" si="14"/>
        <v>-48.338990836357752</v>
      </c>
      <c r="L60" s="4">
        <f t="shared" si="15"/>
        <v>-105.87856189724758</v>
      </c>
      <c r="M60" s="4">
        <f t="shared" si="16"/>
        <v>2336.6580350774789</v>
      </c>
      <c r="N60" s="4">
        <f t="shared" si="17"/>
        <v>11210.269869429287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5">
        <v>198.45</v>
      </c>
      <c r="C61" s="26">
        <v>116</v>
      </c>
      <c r="D61" s="7">
        <f t="shared" si="9"/>
        <v>-71.550000000000011</v>
      </c>
      <c r="E61" s="7">
        <f t="shared" si="10"/>
        <v>-72</v>
      </c>
      <c r="F61" s="7">
        <f t="shared" si="11"/>
        <v>0.74999999999998102</v>
      </c>
      <c r="G61" s="7">
        <f t="shared" si="12"/>
        <v>37.286977975166707</v>
      </c>
      <c r="H61" s="7">
        <f t="shared" si="13"/>
        <v>-109.84389502143227</v>
      </c>
      <c r="I61" s="7"/>
      <c r="J61" s="7"/>
      <c r="K61" s="7">
        <f t="shared" si="14"/>
        <v>-45.551874018473981</v>
      </c>
      <c r="L61" s="7">
        <f t="shared" si="15"/>
        <v>-102.87849571504167</v>
      </c>
      <c r="M61" s="7">
        <f t="shared" si="16"/>
        <v>2074.9732265949251</v>
      </c>
      <c r="N61" s="7">
        <f t="shared" si="17"/>
        <v>10583.984880589847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2"/>
  </sheetPr>
  <dimension ref="A1:AD62"/>
  <sheetViews>
    <sheetView topLeftCell="A52" zoomScale="70" zoomScaleNormal="70" workbookViewId="0">
      <selection activeCell="Z50" sqref="Z50:AA51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15"/>
      <c r="H2" s="15"/>
      <c r="I2" s="107" t="s">
        <v>23</v>
      </c>
      <c r="J2" s="10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46.224503089474752</v>
      </c>
      <c r="J4" s="17">
        <f>(J12+J38)/2</f>
        <v>-49.846329088545112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24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220.55</v>
      </c>
      <c r="C12" s="25">
        <v>128</v>
      </c>
      <c r="D12" s="4">
        <f>IF(B12,B12-$C$4," ")</f>
        <v>-49.449999999999989</v>
      </c>
      <c r="E12" s="4">
        <f>IF(B12,INT(D12)," ")</f>
        <v>-50</v>
      </c>
      <c r="F12" s="4">
        <f>IF(B12,((D12-E12)/60*100)," ")</f>
        <v>0.91666666666668561</v>
      </c>
      <c r="G12" s="4">
        <f>IF(B12,C12*COS(PI()/180*(E12+F12))," ")</f>
        <v>83.834963824018104</v>
      </c>
      <c r="H12" s="4">
        <f>IF(B12,(C12*SIN(PI()/180*(E12+F12)))," ")</f>
        <v>-96.72486154358441</v>
      </c>
      <c r="I12" s="4">
        <f>SUM(G12:G35)/D6</f>
        <v>56.136428216009506</v>
      </c>
      <c r="J12" s="4">
        <f>SUM(H12:H35)/D6</f>
        <v>-72.515276530724648</v>
      </c>
      <c r="K12" s="4">
        <f>IF(B12,SUM(G12,-$I$12)," ")</f>
        <v>27.698535608008598</v>
      </c>
      <c r="L12" s="4">
        <f>IF(B12,SUM(H12,-$J$12)," ")</f>
        <v>-24.209585012859762</v>
      </c>
      <c r="M12" s="4">
        <f>IF(B12,POWER(K12,2)," ")</f>
        <v>767.2088748281202</v>
      </c>
      <c r="N12" s="4">
        <f>IF(B12,POWER(L12,2)," ")</f>
        <v>586.10400649488395</v>
      </c>
      <c r="O12" s="4">
        <f>D6-1</f>
        <v>23</v>
      </c>
      <c r="P12" s="4">
        <f>SUM(M12:M35)</f>
        <v>27552.680244956151</v>
      </c>
      <c r="Q12" s="4">
        <f>SUM(N12:N35)</f>
        <v>20272.986078756181</v>
      </c>
      <c r="R12" s="4">
        <f>PRODUCT(P12,1/$O$12)</f>
        <v>1197.9426193459196</v>
      </c>
      <c r="S12" s="4">
        <f>PRODUCT(Q12,1/$O$12)</f>
        <v>881.43417733722526</v>
      </c>
      <c r="T12" s="4">
        <f>SQRT(R12)</f>
        <v>34.611307680379831</v>
      </c>
      <c r="U12" s="4">
        <f>SQRT(S12)</f>
        <v>29.68895716149736</v>
      </c>
      <c r="V12" s="4">
        <f>PRODUCT(T12:U12)</f>
        <v>1027.5736310262014</v>
      </c>
      <c r="W12" s="10">
        <f>SQRT(V12)</f>
        <v>32.055789352723814</v>
      </c>
    </row>
    <row r="13" spans="1:23">
      <c r="A13" s="3">
        <v>2</v>
      </c>
      <c r="B13" s="25">
        <v>211.1</v>
      </c>
      <c r="C13" s="25">
        <v>100</v>
      </c>
      <c r="D13" s="4">
        <f>IF(B13,B13-$C$4," ")</f>
        <v>-58.900000000000006</v>
      </c>
      <c r="E13" s="4">
        <f>IF(B13,INT(D13)," ")</f>
        <v>-59</v>
      </c>
      <c r="F13" s="4">
        <f>IF(B13,((D13-E13)/60*100)," ")</f>
        <v>0.16666666666665719</v>
      </c>
      <c r="G13" s="4">
        <f>IF(B13,C13*COS(PI()/180*(E13+F13))," ")</f>
        <v>51.752929097971965</v>
      </c>
      <c r="H13" s="4">
        <f>IF(B13,(C13*SIN(PI()/180*(E13+F13)))," ")</f>
        <v>-85.566549128618519</v>
      </c>
      <c r="I13" s="4"/>
      <c r="J13" s="4"/>
      <c r="K13" s="4">
        <f t="shared" ref="K13:K35" si="0">IF(B13,SUM(G13,-$I$12)," ")</f>
        <v>-4.3834991180375411</v>
      </c>
      <c r="L13" s="4">
        <f t="shared" ref="L13:L35" si="1">IF(B13,SUM(H13,-$J$12)," ")</f>
        <v>-13.05127259789387</v>
      </c>
      <c r="M13" s="4">
        <f t="shared" ref="M13:M35" si="2">IF(B13,POWER(K13,2)," ")</f>
        <v>19.215064517835902</v>
      </c>
      <c r="N13" s="4">
        <f t="shared" ref="N13:N34" si="3">IF(B13,POWER(L13,2)," ")</f>
        <v>170.33571642453541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216.5</v>
      </c>
      <c r="C14" s="25">
        <v>104</v>
      </c>
      <c r="D14" s="4">
        <f>IF(B14,B14-$C$4," ")</f>
        <v>-53.5</v>
      </c>
      <c r="E14" s="4">
        <f>IF(B14,INT(D14)," ")</f>
        <v>-54</v>
      </c>
      <c r="F14" s="4">
        <f>IF(B14,((D14-E14)/60*100)," ")</f>
        <v>0.83333333333333337</v>
      </c>
      <c r="G14" s="4">
        <f>IF(B14,C14*COS(PI()/180*(E14+F14))," ")</f>
        <v>62.346891749338958</v>
      </c>
      <c r="H14" s="4">
        <f>IF(B14,(C14*SIN(PI()/180*(E14+F14)))," ")</f>
        <v>-83.239804716230609</v>
      </c>
      <c r="I14" s="4"/>
      <c r="J14" s="4"/>
      <c r="K14" s="4">
        <f t="shared" si="0"/>
        <v>6.2104635333294524</v>
      </c>
      <c r="L14" s="4">
        <f t="shared" si="1"/>
        <v>-10.72452818550596</v>
      </c>
      <c r="M14" s="4">
        <f t="shared" si="2"/>
        <v>38.569857298814945</v>
      </c>
      <c r="N14" s="4">
        <f t="shared" si="3"/>
        <v>115.01550480171176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214.3</v>
      </c>
      <c r="C15" s="25">
        <v>100</v>
      </c>
      <c r="D15" s="4">
        <f>IF(B15,B15-$C$4," ")</f>
        <v>-55.699999999999989</v>
      </c>
      <c r="E15" s="4">
        <f>IF(B15,INT(D15)," ")</f>
        <v>-56</v>
      </c>
      <c r="F15" s="4">
        <f>IF(B15,((D15-E15)/60*100)," ")</f>
        <v>0.50000000000001887</v>
      </c>
      <c r="G15" s="4">
        <f>IF(B15,C15*COS(PI()/180*(E15+F15))," ")</f>
        <v>56.640623692483317</v>
      </c>
      <c r="H15" s="4">
        <f>IF(B15,(C15*SIN(PI()/180*(E15+F15)))," ")</f>
        <v>-82.412618862201555</v>
      </c>
      <c r="I15" s="4"/>
      <c r="J15" s="4"/>
      <c r="K15" s="4">
        <f t="shared" si="0"/>
        <v>0.5041954764738108</v>
      </c>
      <c r="L15" s="4">
        <f t="shared" si="1"/>
        <v>-9.8973423314769065</v>
      </c>
      <c r="M15" s="4">
        <f t="shared" si="2"/>
        <v>0.25421307849665309</v>
      </c>
      <c r="N15" s="4">
        <f t="shared" si="3"/>
        <v>97.957385226444728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217.3</v>
      </c>
      <c r="C16" s="25">
        <v>100</v>
      </c>
      <c r="D16" s="4">
        <f>IF(B16,B16-$C$4," ")</f>
        <v>-52.699999999999989</v>
      </c>
      <c r="E16" s="4">
        <f>IF(B16,INT(D16)," ")</f>
        <v>-53</v>
      </c>
      <c r="F16" s="4">
        <f>IF(B16,((D16-E16)/60*100)," ")</f>
        <v>0.50000000000001887</v>
      </c>
      <c r="G16" s="4">
        <f>IF(B16,C16*COS(PI()/180*(E16+F16))," ")</f>
        <v>60.876142900872097</v>
      </c>
      <c r="H16" s="4">
        <f>IF(B16,(C16*SIN(PI()/180*(E16+F16)))," ")</f>
        <v>-79.335334029123487</v>
      </c>
      <c r="I16" s="4"/>
      <c r="J16" s="4"/>
      <c r="K16" s="4">
        <f t="shared" si="0"/>
        <v>4.7397146848625908</v>
      </c>
      <c r="L16" s="4">
        <f t="shared" si="1"/>
        <v>-6.8200574983988389</v>
      </c>
      <c r="M16" s="4">
        <f t="shared" si="2"/>
        <v>22.464895293902089</v>
      </c>
      <c r="N16" s="4">
        <f t="shared" si="3"/>
        <v>46.513184281466231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232.1</v>
      </c>
      <c r="C17" s="25">
        <v>128</v>
      </c>
      <c r="D17" s="4">
        <f>IF(B17,B17-$C$4," ")</f>
        <v>-37.900000000000006</v>
      </c>
      <c r="E17" s="4">
        <f>IF(B17,INT(D17)," ")</f>
        <v>-38</v>
      </c>
      <c r="F17" s="4">
        <f>IF(B17,((D17-E17)/60*100)," ")</f>
        <v>0.16666666666665719</v>
      </c>
      <c r="G17" s="4">
        <f>IF(B17,C17*COS(PI()/180*(E17+F17))," ")</f>
        <v>101.09418288723754</v>
      </c>
      <c r="H17" s="4">
        <f>IF(B17,(C17*SIN(PI()/180*(E17+F17)))," ")</f>
        <v>-78.510930362349981</v>
      </c>
      <c r="I17" s="4"/>
      <c r="J17" s="4"/>
      <c r="K17" s="4">
        <f t="shared" si="0"/>
        <v>44.957754671228031</v>
      </c>
      <c r="L17" s="4">
        <f t="shared" si="1"/>
        <v>-5.9956538316253329</v>
      </c>
      <c r="M17" s="4">
        <f t="shared" si="2"/>
        <v>2021.1997050783259</v>
      </c>
      <c r="N17" s="4">
        <f t="shared" si="3"/>
        <v>35.947864868683538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 ht="15.75" thickBot="1">
      <c r="A18" s="3">
        <v>7</v>
      </c>
      <c r="B18" s="25">
        <v>225.5</v>
      </c>
      <c r="C18" s="26">
        <v>112</v>
      </c>
      <c r="D18" s="4">
        <f>IF(B18,B18-$C$4," ")</f>
        <v>-44.5</v>
      </c>
      <c r="E18" s="4">
        <f>IF(B18,INT(D18)," ")</f>
        <v>-45</v>
      </c>
      <c r="F18" s="4">
        <f>IF(B18,((D18-E18)/60*100)," ")</f>
        <v>0.83333333333333337</v>
      </c>
      <c r="G18" s="4">
        <f>IF(B18,C18*COS(PI()/180*(E18+F18))," ")</f>
        <v>80.33940101816043</v>
      </c>
      <c r="H18" s="4">
        <f>IF(B18,(C18*SIN(PI()/180*(E18+F18)))," ")</f>
        <v>-78.035765159593353</v>
      </c>
      <c r="I18" s="4"/>
      <c r="J18" s="4"/>
      <c r="K18" s="4">
        <f t="shared" si="0"/>
        <v>24.202972802150924</v>
      </c>
      <c r="L18" s="4">
        <f t="shared" si="1"/>
        <v>-5.520488628868705</v>
      </c>
      <c r="M18" s="4">
        <f t="shared" si="2"/>
        <v>585.78389246165739</v>
      </c>
      <c r="N18" s="4">
        <f t="shared" si="3"/>
        <v>30.475794701468676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221.4</v>
      </c>
      <c r="C19" s="25">
        <v>104</v>
      </c>
      <c r="D19" s="4">
        <f>IF(B19,B19-$C$4," ")</f>
        <v>-48.599999999999994</v>
      </c>
      <c r="E19" s="4">
        <f>IF(B19,INT(D19)," ")</f>
        <v>-49</v>
      </c>
      <c r="F19" s="4">
        <f>IF(B19,((D19-E19)/60*100)," ")</f>
        <v>0.66666666666667618</v>
      </c>
      <c r="G19" s="4">
        <f>IF(B19,C19*COS(PI()/180*(E19+F19))," ")</f>
        <v>69.138770023849546</v>
      </c>
      <c r="H19" s="4">
        <f>IF(B19,(C19*SIN(PI()/180*(E19+F19)))," ")</f>
        <v>-77.69060740906356</v>
      </c>
      <c r="I19" s="4"/>
      <c r="J19" s="4"/>
      <c r="K19" s="4">
        <f t="shared" si="0"/>
        <v>13.00234180784004</v>
      </c>
      <c r="L19" s="4">
        <f t="shared" si="1"/>
        <v>-5.1753308783389116</v>
      </c>
      <c r="M19" s="4">
        <f t="shared" si="2"/>
        <v>169.06089248790499</v>
      </c>
      <c r="N19" s="4">
        <f t="shared" si="3"/>
        <v>26.784049700288211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>
        <v>229.4</v>
      </c>
      <c r="C20" s="25">
        <v>116</v>
      </c>
      <c r="D20" s="4">
        <f>IF(B20,B20-$C$4," ")</f>
        <v>-40.599999999999994</v>
      </c>
      <c r="E20" s="4">
        <f>IF(B20,INT(D20)," ")</f>
        <v>-41</v>
      </c>
      <c r="F20" s="4">
        <f>IF(B20,((D20-E20)/60*100)," ")</f>
        <v>0.66666666666667618</v>
      </c>
      <c r="G20" s="4">
        <f>IF(B20,C20*COS(PI()/180*(E20+F20))," ")</f>
        <v>88.425861978576492</v>
      </c>
      <c r="H20" s="4">
        <f>IF(B20,(C20*SIN(PI()/180*(E20+F20)))," ")</f>
        <v>-75.079071207266139</v>
      </c>
      <c r="I20" s="4"/>
      <c r="J20" s="4"/>
      <c r="K20" s="4">
        <f t="shared" si="0"/>
        <v>32.289433762566986</v>
      </c>
      <c r="L20" s="4">
        <f t="shared" si="1"/>
        <v>-2.563794676541491</v>
      </c>
      <c r="M20" s="4">
        <f t="shared" si="2"/>
        <v>1042.6075327072008</v>
      </c>
      <c r="N20" s="4">
        <f t="shared" si="3"/>
        <v>6.5730431434624883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237.5</v>
      </c>
      <c r="C21" s="25">
        <v>140</v>
      </c>
      <c r="D21" s="4">
        <f>IF(B21,B21-$C$4," ")</f>
        <v>-32.5</v>
      </c>
      <c r="E21" s="4">
        <f>IF(B21,INT(D21)," ")</f>
        <v>-33</v>
      </c>
      <c r="F21" s="4">
        <f>IF(B21,((D21-E21)/60*100)," ")</f>
        <v>0.83333333333333337</v>
      </c>
      <c r="G21" s="4">
        <f>IF(B21,C21*COS(PI()/180*(E21+F21))," ")</f>
        <v>118.51042528611666</v>
      </c>
      <c r="H21" s="4">
        <f>IF(B21,(C21*SIN(PI()/180*(E21+F21)))," ")</f>
        <v>-74.533744696639005</v>
      </c>
      <c r="I21" s="4"/>
      <c r="J21" s="4"/>
      <c r="K21" s="4">
        <f t="shared" si="0"/>
        <v>62.373997070107151</v>
      </c>
      <c r="L21" s="4">
        <f t="shared" si="1"/>
        <v>-2.0184681659143564</v>
      </c>
      <c r="M21" s="4">
        <f t="shared" si="2"/>
        <v>3890.5155105017357</v>
      </c>
      <c r="N21" s="4">
        <f t="shared" si="3"/>
        <v>4.074213736809666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>
        <v>213.2</v>
      </c>
      <c r="C22" s="25">
        <v>86</v>
      </c>
      <c r="D22" s="4">
        <f>IF(B22,B22-$C$4," ")</f>
        <v>-56.800000000000011</v>
      </c>
      <c r="E22" s="4">
        <f>IF(B22,INT(D22)," ")</f>
        <v>-57</v>
      </c>
      <c r="F22" s="4">
        <f>IF(B22,((D22-E22)/60*100)," ")</f>
        <v>0.33333333333331439</v>
      </c>
      <c r="G22" s="4">
        <f>IF(B22,C22*COS(PI()/180*(E22+F22))," ")</f>
        <v>47.257772114089299</v>
      </c>
      <c r="H22" s="4">
        <f>IF(B22,(C22*SIN(PI()/180*(E22+F22)))," ")</f>
        <v>-71.851951781512554</v>
      </c>
      <c r="I22" s="4"/>
      <c r="J22" s="4"/>
      <c r="K22" s="4">
        <f t="shared" si="0"/>
        <v>-8.8786561019202068</v>
      </c>
      <c r="L22" s="4">
        <f t="shared" si="1"/>
        <v>0.66332474921209439</v>
      </c>
      <c r="M22" s="4">
        <f t="shared" si="2"/>
        <v>78.830534176164917</v>
      </c>
      <c r="N22" s="4">
        <f t="shared" si="3"/>
        <v>0.43999972291728789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218.1</v>
      </c>
      <c r="C23" s="25">
        <v>90</v>
      </c>
      <c r="D23" s="4">
        <f>IF(B23,B23-$C$4," ")</f>
        <v>-51.900000000000006</v>
      </c>
      <c r="E23" s="4">
        <f>IF(B23,INT(D23)," ")</f>
        <v>-52</v>
      </c>
      <c r="F23" s="4">
        <f>IF(B23,((D23-E23)/60*100)," ")</f>
        <v>0.16666666666665719</v>
      </c>
      <c r="G23" s="4">
        <f>IF(B23,C23*COS(PI()/180*(E23+F23))," ")</f>
        <v>55.61559879489657</v>
      </c>
      <c r="H23" s="4">
        <f>IF(B23,(C23*SIN(PI()/180*(E23+F23)))," ")</f>
        <v>-70.759488202537895</v>
      </c>
      <c r="I23" s="4"/>
      <c r="J23" s="4"/>
      <c r="K23" s="4">
        <f t="shared" si="0"/>
        <v>-0.52082942111293562</v>
      </c>
      <c r="L23" s="4">
        <f t="shared" si="1"/>
        <v>1.7557883281867532</v>
      </c>
      <c r="M23" s="4">
        <f t="shared" si="2"/>
        <v>0.27126328589683563</v>
      </c>
      <c r="N23" s="4">
        <f t="shared" si="3"/>
        <v>3.0827926533968339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230.55</v>
      </c>
      <c r="C24" s="25">
        <v>106</v>
      </c>
      <c r="D24" s="4">
        <f>IF(B24,B24-$C$4," ")</f>
        <v>-39.449999999999989</v>
      </c>
      <c r="E24" s="4">
        <f>IF(B24,INT(D24)," ")</f>
        <v>-40</v>
      </c>
      <c r="F24" s="4">
        <f>IF(B24,((D24-E24)/60*100)," ")</f>
        <v>0.91666666666668561</v>
      </c>
      <c r="G24" s="4">
        <f>IF(B24,C24*COS(PI()/180*(E24+F24))," ")</f>
        <v>82.280362021009239</v>
      </c>
      <c r="H24" s="4">
        <f>IF(B24,(C24*SIN(PI()/180*(E24+F24)))," ")</f>
        <v>-66.827704028282</v>
      </c>
      <c r="I24" s="4"/>
      <c r="J24" s="4"/>
      <c r="K24" s="4">
        <f t="shared" si="0"/>
        <v>26.143933804999733</v>
      </c>
      <c r="L24" s="4">
        <f t="shared" si="1"/>
        <v>5.6875725024426487</v>
      </c>
      <c r="M24" s="4">
        <f t="shared" si="2"/>
        <v>683.50527480020787</v>
      </c>
      <c r="N24" s="4">
        <f t="shared" si="3"/>
        <v>32.348480970541736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221</v>
      </c>
      <c r="C25" s="25">
        <v>82</v>
      </c>
      <c r="D25" s="4">
        <f>IF(B25,B25-$C$4," ")</f>
        <v>-49</v>
      </c>
      <c r="E25" s="4">
        <f>IF(B25,INT(D25)," ")</f>
        <v>-49</v>
      </c>
      <c r="F25" s="4">
        <f>IF(B25,((D25-E25)/60*100)," ")</f>
        <v>0</v>
      </c>
      <c r="G25" s="4">
        <f>IF(B25,C25*COS(PI()/180*(E25+F25))," ")</f>
        <v>53.796840377221599</v>
      </c>
      <c r="H25" s="4">
        <f>IF(B25,(C25*SIN(PI()/180*(E25+F25)))," ")</f>
        <v>-61.886185578267302</v>
      </c>
      <c r="I25" s="4"/>
      <c r="J25" s="4"/>
      <c r="K25" s="4">
        <f t="shared" si="0"/>
        <v>-2.3395878387879065</v>
      </c>
      <c r="L25" s="4">
        <f t="shared" si="1"/>
        <v>10.629090952457346</v>
      </c>
      <c r="M25" s="4">
        <f t="shared" si="2"/>
        <v>5.473671255404267</v>
      </c>
      <c r="N25" s="4">
        <f t="shared" si="3"/>
        <v>112.97757447561062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221.1</v>
      </c>
      <c r="C26" s="25">
        <v>78</v>
      </c>
      <c r="D26" s="4">
        <f>IF(B26,B26-$C$4," ")</f>
        <v>-48.900000000000006</v>
      </c>
      <c r="E26" s="4">
        <f>IF(B26,INT(D26)," ")</f>
        <v>-49</v>
      </c>
      <c r="F26" s="4">
        <f>IF(B26,((D26-E26)/60*100)," ")</f>
        <v>0.16666666666665719</v>
      </c>
      <c r="G26" s="4">
        <f>IF(B26,C26*COS(PI()/180*(E26+F26))," ")</f>
        <v>51.343625690920966</v>
      </c>
      <c r="H26" s="4">
        <f>IF(B26,(C26*SIN(PI()/180*(E26+F26)))," ")</f>
        <v>-58.718243339788359</v>
      </c>
      <c r="I26" s="4"/>
      <c r="J26" s="4"/>
      <c r="K26" s="4">
        <f t="shared" si="0"/>
        <v>-4.7928025250885398</v>
      </c>
      <c r="L26" s="4">
        <f t="shared" si="1"/>
        <v>13.79703319093629</v>
      </c>
      <c r="M26" s="4">
        <f t="shared" si="2"/>
        <v>22.970956044495082</v>
      </c>
      <c r="N26" s="4">
        <f t="shared" si="3"/>
        <v>190.35812487179763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227.4</v>
      </c>
      <c r="C27" s="25">
        <v>86</v>
      </c>
      <c r="D27" s="4">
        <f>IF(B27,B27-$C$4," ")</f>
        <v>-42.599999999999994</v>
      </c>
      <c r="E27" s="4">
        <f>IF(B27,INT(D27)," ")</f>
        <v>-43</v>
      </c>
      <c r="F27" s="4">
        <f>IF(B27,((D27-E27)/60*100)," ")</f>
        <v>0.66666666666667618</v>
      </c>
      <c r="G27" s="4">
        <f>IF(B27,C27*COS(PI()/180*(E27+F27))," ")</f>
        <v>63.574590723943267</v>
      </c>
      <c r="H27" s="4">
        <f>IF(B27,(C27*SIN(PI()/180*(E27+F27)))," ")</f>
        <v>-57.916072158625418</v>
      </c>
      <c r="I27" s="4"/>
      <c r="J27" s="4"/>
      <c r="K27" s="4">
        <f t="shared" si="0"/>
        <v>7.438162507933761</v>
      </c>
      <c r="L27" s="4">
        <f t="shared" si="1"/>
        <v>14.59920437209923</v>
      </c>
      <c r="M27" s="4">
        <f t="shared" si="2"/>
        <v>55.326261494431456</v>
      </c>
      <c r="N27" s="4">
        <f t="shared" si="3"/>
        <v>213.13676829832127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203</v>
      </c>
      <c r="C28" s="25">
        <v>108</v>
      </c>
      <c r="D28" s="4">
        <f>IF(B28,B28-$C$4," ")</f>
        <v>-67</v>
      </c>
      <c r="E28" s="4">
        <f>IF(B28,INT(D28)," ")</f>
        <v>-67</v>
      </c>
      <c r="F28" s="4">
        <f>IF(B28,((D28-E28)/60*100)," ")</f>
        <v>0</v>
      </c>
      <c r="G28" s="4">
        <f>IF(B28,C28*COS(PI()/180*(E28+F28))," ")</f>
        <v>42.198961876841558</v>
      </c>
      <c r="H28" s="4">
        <f>IF(B28,(C28*SIN(PI()/180*(E28+F28)))," ")</f>
        <v>-99.414524172863565</v>
      </c>
      <c r="I28" s="4"/>
      <c r="J28" s="4"/>
      <c r="K28" s="4">
        <f t="shared" si="0"/>
        <v>-13.937466339167948</v>
      </c>
      <c r="L28" s="4">
        <f t="shared" si="1"/>
        <v>-26.899247642138917</v>
      </c>
      <c r="M28" s="4">
        <f t="shared" si="2"/>
        <v>194.2529679554396</v>
      </c>
      <c r="N28" s="4">
        <f t="shared" si="3"/>
        <v>723.56952371311604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>
        <v>200.5</v>
      </c>
      <c r="C29" s="25">
        <v>96</v>
      </c>
      <c r="D29" s="4">
        <f>IF(B29,B29-$C$4," ")</f>
        <v>-69.5</v>
      </c>
      <c r="E29" s="4">
        <f>IF(B29,INT(D29)," ")</f>
        <v>-70</v>
      </c>
      <c r="F29" s="4">
        <f>IF(B29,((D29-E29)/60*100)," ")</f>
        <v>0.83333333333333337</v>
      </c>
      <c r="G29" s="4">
        <f>IF(B29,C29*COS(PI()/180*(E29+F29))," ")</f>
        <v>34.14247313422814</v>
      </c>
      <c r="H29" s="4">
        <f>IF(B29,(C29*SIN(PI()/180*(E29+F29)))," ")</f>
        <v>-89.723416833502895</v>
      </c>
      <c r="I29" s="4"/>
      <c r="J29" s="4"/>
      <c r="K29" s="4">
        <f t="shared" si="0"/>
        <v>-21.993955081781365</v>
      </c>
      <c r="L29" s="4">
        <f t="shared" si="1"/>
        <v>-17.208140302778247</v>
      </c>
      <c r="M29" s="4">
        <f t="shared" si="2"/>
        <v>483.73406013941633</v>
      </c>
      <c r="N29" s="4">
        <f t="shared" si="3"/>
        <v>296.12009268010104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>
        <v>201.1</v>
      </c>
      <c r="C30" s="25">
        <v>96</v>
      </c>
      <c r="D30" s="4">
        <f>IF(B30,B30-$C$4," ")</f>
        <v>-68.900000000000006</v>
      </c>
      <c r="E30" s="4">
        <f>IF(B30,INT(D30)," ")</f>
        <v>-69</v>
      </c>
      <c r="F30" s="4">
        <f>IF(B30,((D30-E30)/60*100)," ")</f>
        <v>0.16666666666665719</v>
      </c>
      <c r="G30" s="4">
        <f>IF(B30,C30*COS(PI()/180*(E30+F30))," ")</f>
        <v>34.663882071687766</v>
      </c>
      <c r="H30" s="4">
        <f>IF(B30,(C30*SIN(PI()/180*(E30+F30)))," ")</f>
        <v>-89.523266694866109</v>
      </c>
      <c r="I30" s="4"/>
      <c r="J30" s="4"/>
      <c r="K30" s="4">
        <f t="shared" si="0"/>
        <v>-21.47254614432174</v>
      </c>
      <c r="L30" s="4">
        <f t="shared" si="1"/>
        <v>-17.007990164141461</v>
      </c>
      <c r="M30" s="4">
        <f t="shared" si="2"/>
        <v>461.07023792002639</v>
      </c>
      <c r="N30" s="4">
        <f t="shared" si="3"/>
        <v>289.27172942353269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>
        <v>200.45</v>
      </c>
      <c r="C31" s="25">
        <v>92</v>
      </c>
      <c r="D31" s="4">
        <f>IF(B31,B31-$C$4," ")</f>
        <v>-69.550000000000011</v>
      </c>
      <c r="E31" s="4">
        <f>IF(B31,INT(D31)," ")</f>
        <v>-70</v>
      </c>
      <c r="F31" s="4">
        <f>IF(B31,((D31-E31)/60*100)," ")</f>
        <v>0.74999999999998102</v>
      </c>
      <c r="G31" s="4">
        <f>IF(B31,C31*COS(PI()/180*(E31+F31))," ")</f>
        <v>32.594775495789833</v>
      </c>
      <c r="H31" s="4">
        <f>IF(B31,(C31*SIN(PI()/180*(E31+F31)))," ")</f>
        <v>-86.032439291113093</v>
      </c>
      <c r="I31" s="4"/>
      <c r="J31" s="4"/>
      <c r="K31" s="4">
        <f t="shared" si="0"/>
        <v>-23.541652720219673</v>
      </c>
      <c r="L31" s="4">
        <f t="shared" si="1"/>
        <v>-13.517162760388445</v>
      </c>
      <c r="M31" s="4">
        <f t="shared" si="2"/>
        <v>554.20941279942633</v>
      </c>
      <c r="N31" s="4">
        <f t="shared" si="3"/>
        <v>182.71368909083216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>
        <v>206.4</v>
      </c>
      <c r="C32" s="25">
        <v>88</v>
      </c>
      <c r="D32" s="4">
        <f>IF(B32,B32-$C$4," ")</f>
        <v>-63.599999999999994</v>
      </c>
      <c r="E32" s="4">
        <f>IF(B32,INT(D32)," ")</f>
        <v>-64</v>
      </c>
      <c r="F32" s="4">
        <f>IF(B32,((D32-E32)/60*100)," ")</f>
        <v>0.66666666666667618</v>
      </c>
      <c r="G32" s="4">
        <f>IF(B32,C32*COS(PI()/180*(E32+F32))," ")</f>
        <v>39.494327857640698</v>
      </c>
      <c r="H32" s="4">
        <f>IF(B32,(C32*SIN(PI()/180*(E32+F32)))," ")</f>
        <v>-78.639672348460266</v>
      </c>
      <c r="I32" s="4"/>
      <c r="J32" s="4"/>
      <c r="K32" s="4">
        <f t="shared" si="0"/>
        <v>-16.642100358368808</v>
      </c>
      <c r="L32" s="4">
        <f t="shared" si="1"/>
        <v>-6.1243958177356177</v>
      </c>
      <c r="M32" s="4">
        <f t="shared" si="2"/>
        <v>276.9595043380192</v>
      </c>
      <c r="N32" s="4">
        <f t="shared" si="3"/>
        <v>37.508224132297528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217.1</v>
      </c>
      <c r="C33" s="25">
        <v>76</v>
      </c>
      <c r="D33" s="4">
        <f>IF(B33,B33-$C$4," ")</f>
        <v>-52.900000000000006</v>
      </c>
      <c r="E33" s="4">
        <f>IF(B33,INT(D33)," ")</f>
        <v>-53</v>
      </c>
      <c r="F33" s="4">
        <f>IF(B33,((D33-E33)/60*100)," ")</f>
        <v>0.16666666666665719</v>
      </c>
      <c r="G33" s="4">
        <f>IF(B33,C33*COS(PI()/180*(E33+F33))," ")</f>
        <v>45.914306378928266</v>
      </c>
      <c r="H33" s="4">
        <f>IF(B33,(C33*SIN(PI()/180*(E33+F33)))," ")</f>
        <v>-60.562995878192048</v>
      </c>
      <c r="I33" s="4"/>
      <c r="J33" s="4"/>
      <c r="K33" s="4">
        <f t="shared" si="0"/>
        <v>-10.222121837081239</v>
      </c>
      <c r="L33" s="4">
        <f t="shared" si="1"/>
        <v>11.9522806525326</v>
      </c>
      <c r="M33" s="4">
        <f t="shared" si="2"/>
        <v>104.49177485213313</v>
      </c>
      <c r="N33" s="4">
        <f t="shared" si="3"/>
        <v>142.85701279690514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213.35</v>
      </c>
      <c r="C34" s="25">
        <v>112</v>
      </c>
      <c r="D34" s="4">
        <f>IF(B34,B34-$C$4," ")</f>
        <v>-56.650000000000006</v>
      </c>
      <c r="E34" s="4">
        <f>IF(B34,INT(D34)," ")</f>
        <v>-57</v>
      </c>
      <c r="F34" s="4">
        <f>IF(B34,((D34-E34)/60*100)," ")</f>
        <v>0.58333333333332382</v>
      </c>
      <c r="G34" s="4">
        <f>IF(B34,C34*COS(PI()/180*(E34+F34))," ")</f>
        <v>61.952714753016124</v>
      </c>
      <c r="H34" s="4">
        <f>IF(B34,(C34*SIN(PI()/180*(E34+F34)))," ")</f>
        <v>-93.305204221047703</v>
      </c>
      <c r="I34" s="4"/>
      <c r="J34" s="4"/>
      <c r="K34" s="4">
        <f>IF(B34,SUM(G34,-$I$12)," ")</f>
        <v>5.8162865370066186</v>
      </c>
      <c r="L34" s="4">
        <f t="shared" si="1"/>
        <v>-20.789927690323054</v>
      </c>
      <c r="M34" s="4">
        <f t="shared" si="2"/>
        <v>33.82918908056444</v>
      </c>
      <c r="N34" s="4">
        <f t="shared" si="3"/>
        <v>432.22109336886126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5">
        <v>231.35</v>
      </c>
      <c r="C35" s="25">
        <v>90</v>
      </c>
      <c r="D35" s="7">
        <f>IF(B41,B35-C35," ")</f>
        <v>141.35</v>
      </c>
      <c r="E35" s="7">
        <f>IF(B35,INT(D35)," ")</f>
        <v>141</v>
      </c>
      <c r="F35" s="7">
        <f>IF(B35,((D35-E35)/60*100)," ")</f>
        <v>0.58333333333332382</v>
      </c>
      <c r="G35" s="7">
        <f>IF(B35,C35*COS(PI()/180*(E35+F35))," ")</f>
        <v>-70.516146564610466</v>
      </c>
      <c r="H35" s="7">
        <f>IF(B35,(C35*SIN(PI()/180*(E35+F35)))," ")</f>
        <v>55.923814906338208</v>
      </c>
      <c r="I35" s="7"/>
      <c r="J35" s="7"/>
      <c r="K35" s="7">
        <f t="shared" si="0"/>
        <v>-126.65257478061997</v>
      </c>
      <c r="L35" s="7">
        <f t="shared" si="1"/>
        <v>128.43909143706287</v>
      </c>
      <c r="M35" s="7">
        <f t="shared" si="2"/>
        <v>16040.874698560534</v>
      </c>
      <c r="N35" s="7">
        <f>IF(B35,POWER(L35,2)," ")</f>
        <v>16496.600209178196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217.4</v>
      </c>
      <c r="C38" s="25">
        <v>60</v>
      </c>
      <c r="D38" s="4">
        <f>IF(B38,B38-$C$4," ")</f>
        <v>-52.599999999999994</v>
      </c>
      <c r="E38" s="4">
        <f>IF(B38,INT(D38)," ")</f>
        <v>-53</v>
      </c>
      <c r="F38" s="4">
        <f>IF(B38,((D38-E38)/60*100)," ")</f>
        <v>0.66666666666667618</v>
      </c>
      <c r="G38" s="4">
        <f>IF(B38,C38*COS(PI()/180*(E38+F38))," ")</f>
        <v>36.663997291775999</v>
      </c>
      <c r="H38" s="4">
        <f>IF(B38,(C38*SIN(PI()/180*(E38+F38)))," ")</f>
        <v>-47.494750263462194</v>
      </c>
      <c r="I38" s="4">
        <f>SUM(G38:G61)/E6</f>
        <v>36.312577962940004</v>
      </c>
      <c r="J38" s="4">
        <f>SUM(H38:H61)/E6</f>
        <v>-27.177381646365575</v>
      </c>
      <c r="K38" s="4">
        <f t="shared" ref="K38:K46" si="4">IF(B38,SUM(G38,-$I$12)," ")</f>
        <v>-19.472430924233507</v>
      </c>
      <c r="L38" s="4">
        <f t="shared" ref="L38:L46" si="5">IF(B38,SUM(H38,-$J$12)," ")</f>
        <v>25.020526267262454</v>
      </c>
      <c r="M38" s="4">
        <f t="shared" ref="M38:M46" si="6">IF(B38,POWER(K38,2)," ")</f>
        <v>379.1755660990454</v>
      </c>
      <c r="N38" s="4">
        <f t="shared" ref="N38:N46" si="7">IF(B38,POWER(L38,2)," ")</f>
        <v>626.02673469077047</v>
      </c>
      <c r="O38" s="4">
        <f>E6-1</f>
        <v>23</v>
      </c>
      <c r="P38" s="4">
        <f>SUM(M38:M61)</f>
        <v>18517.785829328001</v>
      </c>
      <c r="Q38" s="4">
        <f>SUM(N38:N61)</f>
        <v>51661.326809100319</v>
      </c>
      <c r="R38" s="4">
        <f>PRODUCT(P38,1/$O$38)</f>
        <v>805.12112301426089</v>
      </c>
      <c r="S38" s="4">
        <f>PRODUCT(Q38,1/$O$38)</f>
        <v>2246.1446438739267</v>
      </c>
      <c r="T38" s="4">
        <f>SQRT(R38)</f>
        <v>28.374656350593234</v>
      </c>
      <c r="U38" s="4">
        <f>SQRT(S38)</f>
        <v>47.393508457107572</v>
      </c>
      <c r="V38" s="4">
        <f>PRODUCT(T38:U38)</f>
        <v>1344.7745157193615</v>
      </c>
      <c r="W38" s="10">
        <f>SQRT(V38)</f>
        <v>36.671167362375598</v>
      </c>
    </row>
    <row r="39" spans="1:23">
      <c r="A39" s="3">
        <v>2</v>
      </c>
      <c r="B39" s="25">
        <v>168.25</v>
      </c>
      <c r="C39" s="25">
        <v>48</v>
      </c>
      <c r="D39" s="4">
        <f>IF(B39,B39-$C$4," ")</f>
        <v>-101.75</v>
      </c>
      <c r="E39" s="4">
        <f>IF(B39,INT(D39)," ")</f>
        <v>-102</v>
      </c>
      <c r="F39" s="4">
        <f>IF(B39,((D39-E39)/60*100)," ")</f>
        <v>0.41666666666666669</v>
      </c>
      <c r="G39" s="4">
        <f>IF(B39,C39*COS(PI()/180*(E39+F39))," ")</f>
        <v>-9.6380623561523624</v>
      </c>
      <c r="H39" s="4">
        <f>IF(B39,(C39*SIN(PI()/180*(E39+F39)))," ")</f>
        <v>-47.022417568846024</v>
      </c>
      <c r="I39" s="4"/>
      <c r="J39" s="4"/>
      <c r="K39" s="4">
        <f t="shared" si="4"/>
        <v>-65.774490572161866</v>
      </c>
      <c r="L39" s="4">
        <f t="shared" si="5"/>
        <v>25.492858961878625</v>
      </c>
      <c r="M39" s="4">
        <f t="shared" si="6"/>
        <v>4326.2836100274098</v>
      </c>
      <c r="N39" s="4">
        <f t="shared" si="7"/>
        <v>649.88585805023536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216.15</v>
      </c>
      <c r="C40" s="25">
        <v>46</v>
      </c>
      <c r="D40" s="4">
        <f>IF(B40,B40-$C$4," ")</f>
        <v>-53.849999999999994</v>
      </c>
      <c r="E40" s="4">
        <f>IF(B40,INT(D40)," ")</f>
        <v>-54</v>
      </c>
      <c r="F40" s="4">
        <f>IF(B40,((D40-E40)/60*100)," ")</f>
        <v>0.25000000000000944</v>
      </c>
      <c r="G40" s="4">
        <f>IF(B40,C40*COS(PI()/180*(E40+F40))," ")</f>
        <v>27.200243824724794</v>
      </c>
      <c r="H40" s="4">
        <f>IF(B40,(C40*SIN(PI()/180*(E40+F40)))," ")</f>
        <v>-37.096451796304194</v>
      </c>
      <c r="I40" s="4"/>
      <c r="J40" s="4"/>
      <c r="K40" s="4">
        <f t="shared" si="4"/>
        <v>-28.936184391284712</v>
      </c>
      <c r="L40" s="4">
        <f t="shared" si="5"/>
        <v>35.418824734420454</v>
      </c>
      <c r="M40" s="4">
        <f t="shared" si="6"/>
        <v>837.30276712642899</v>
      </c>
      <c r="N40" s="4">
        <f t="shared" si="7"/>
        <v>1254.4931455675942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225.45</v>
      </c>
      <c r="C41" s="25">
        <v>52</v>
      </c>
      <c r="D41" s="4">
        <f>IF(B41,B41-$C$4," ")</f>
        <v>-44.550000000000011</v>
      </c>
      <c r="E41" s="4">
        <f>IF(B41,INT(D41)," ")</f>
        <v>-45</v>
      </c>
      <c r="F41" s="4">
        <f>IF(B41,((D41-E41)/60*100)," ")</f>
        <v>0.74999999999998102</v>
      </c>
      <c r="G41" s="4">
        <f>IF(B41,C41*COS(PI()/180*(E41+F41))," ")</f>
        <v>37.247701058082008</v>
      </c>
      <c r="H41" s="4">
        <f>IF(B41,(C41*SIN(PI()/180*(E41+F41)))," ")</f>
        <v>-36.285103911767379</v>
      </c>
      <c r="I41" s="4"/>
      <c r="J41" s="4"/>
      <c r="K41" s="4">
        <f t="shared" si="4"/>
        <v>-18.888727157927498</v>
      </c>
      <c r="L41" s="4">
        <f t="shared" si="5"/>
        <v>36.230172618957269</v>
      </c>
      <c r="M41" s="4">
        <f t="shared" si="6"/>
        <v>356.78401364662784</v>
      </c>
      <c r="N41" s="4">
        <f t="shared" si="7"/>
        <v>1312.625407999441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231.55</v>
      </c>
      <c r="C42" s="25">
        <v>58</v>
      </c>
      <c r="D42" s="4">
        <f>IF(B42,B42-$C$4," ")</f>
        <v>-38.449999999999989</v>
      </c>
      <c r="E42" s="4">
        <f>IF(B42,INT(D42)," ")</f>
        <v>-39</v>
      </c>
      <c r="F42" s="4">
        <f>IF(B42,((D42-E42)/60*100)," ")</f>
        <v>0.91666666666668561</v>
      </c>
      <c r="G42" s="4">
        <f>IF(B42,C42*COS(PI()/180*(E42+F42))," ")</f>
        <v>45.652639673283723</v>
      </c>
      <c r="H42" s="4">
        <f>IF(B42,(C42*SIN(PI()/180*(E42+F42)))," ")</f>
        <v>-35.774802457334701</v>
      </c>
      <c r="I42" s="4"/>
      <c r="J42" s="4"/>
      <c r="K42" s="4">
        <f t="shared" si="4"/>
        <v>-10.483788542725783</v>
      </c>
      <c r="L42" s="4">
        <f t="shared" si="5"/>
        <v>36.740474073389947</v>
      </c>
      <c r="M42" s="4">
        <f t="shared" si="6"/>
        <v>109.90982220858839</v>
      </c>
      <c r="N42" s="4">
        <f t="shared" si="7"/>
        <v>1349.862435137439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220.45</v>
      </c>
      <c r="C43" s="25">
        <v>46</v>
      </c>
      <c r="D43" s="4">
        <f>IF(B43,B43-$C$4," ")</f>
        <v>-49.550000000000011</v>
      </c>
      <c r="E43" s="4">
        <f>IF(B43,INT(D43)," ")</f>
        <v>-50</v>
      </c>
      <c r="F43" s="4">
        <f>IF(B43,((D43-E43)/60*100)," ")</f>
        <v>0.74999999999998102</v>
      </c>
      <c r="G43" s="4">
        <f>IF(B43,C43*COS(PI()/180*(E43+F43))," ")</f>
        <v>30.026948613285221</v>
      </c>
      <c r="H43" s="4">
        <f>IF(B43,(C43*SIN(PI()/180*(E43+F43)))," ")</f>
        <v>-34.847989281666294</v>
      </c>
      <c r="I43" s="4"/>
      <c r="J43" s="4"/>
      <c r="K43" s="4">
        <f t="shared" si="4"/>
        <v>-26.109479602724285</v>
      </c>
      <c r="L43" s="4">
        <f t="shared" si="5"/>
        <v>37.667287249058354</v>
      </c>
      <c r="M43" s="4">
        <f t="shared" si="6"/>
        <v>681.70492512507553</v>
      </c>
      <c r="N43" s="4">
        <f t="shared" si="7"/>
        <v>1418.8245287030741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181.35</v>
      </c>
      <c r="C44" s="25">
        <v>34</v>
      </c>
      <c r="D44" s="4">
        <f>IF(B44,B44-$C$4," ")</f>
        <v>-88.65</v>
      </c>
      <c r="E44" s="4">
        <f>IF(B44,INT(D44)," ")</f>
        <v>-89</v>
      </c>
      <c r="F44" s="4">
        <f>IF(B44,((D44-E44)/60*100)," ")</f>
        <v>0.58333333333332382</v>
      </c>
      <c r="G44" s="4">
        <f>IF(B44,C44*COS(PI()/180*(E44+F44))," ")</f>
        <v>0.93944933352153348</v>
      </c>
      <c r="H44" s="4">
        <f>IF(B44,(C44*SIN(PI()/180*(E44+F44)))," ")</f>
        <v>-33.987018624023882</v>
      </c>
      <c r="I44" s="4"/>
      <c r="J44" s="4"/>
      <c r="K44" s="4">
        <f t="shared" si="4"/>
        <v>-55.196978882487976</v>
      </c>
      <c r="L44" s="4">
        <f t="shared" si="5"/>
        <v>38.528257906700766</v>
      </c>
      <c r="M44" s="4">
        <f t="shared" si="6"/>
        <v>3046.7064777538235</v>
      </c>
      <c r="N44" s="4">
        <f t="shared" si="7"/>
        <v>1484.4266573252501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 ht="15.75" thickBot="1">
      <c r="A45" s="3">
        <v>8</v>
      </c>
      <c r="B45" s="25">
        <v>242.2</v>
      </c>
      <c r="C45" s="26">
        <v>66</v>
      </c>
      <c r="D45" s="4">
        <f>IF(B45,B45-$C$4," ")</f>
        <v>-27.800000000000011</v>
      </c>
      <c r="E45" s="4">
        <f>IF(B45,INT(D45)," ")</f>
        <v>-28</v>
      </c>
      <c r="F45" s="4">
        <f>IF(B45,((D45-E45)/60*100)," ")</f>
        <v>0.33333333333331439</v>
      </c>
      <c r="G45" s="4">
        <f>IF(B45,C45*COS(PI()/180*(E45+F45))," ")</f>
        <v>58.453818062792188</v>
      </c>
      <c r="H45" s="4">
        <f>IF(B45,(C45*SIN(PI()/180*(E45+F45)))," ")</f>
        <v>-30.645573153099779</v>
      </c>
      <c r="I45" s="4"/>
      <c r="J45" s="4"/>
      <c r="K45" s="4">
        <f t="shared" si="4"/>
        <v>2.3173898467826817</v>
      </c>
      <c r="L45" s="4">
        <f t="shared" si="5"/>
        <v>41.869703377624873</v>
      </c>
      <c r="M45" s="4">
        <f t="shared" si="6"/>
        <v>5.370295701971461</v>
      </c>
      <c r="N45" s="4">
        <f t="shared" si="7"/>
        <v>1753.0720609302916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232.3</v>
      </c>
      <c r="C46" s="25">
        <v>50</v>
      </c>
      <c r="D46" s="4">
        <f>IF(B46,B46-$C$4," ")</f>
        <v>-37.699999999999989</v>
      </c>
      <c r="E46" s="4">
        <f>IF(B46,INT(D46)," ")</f>
        <v>-38</v>
      </c>
      <c r="F46" s="4">
        <f>IF(B46,((D46-E46)/60*100)," ")</f>
        <v>0.50000000000001887</v>
      </c>
      <c r="G46" s="4">
        <f>IF(B46,C46*COS(PI()/180*(E46+F46))," ")</f>
        <v>39.667667014561772</v>
      </c>
      <c r="H46" s="4">
        <f>IF(B46,(C46*SIN(PI()/180*(E46+F46)))," ")</f>
        <v>-30.438071450436016</v>
      </c>
      <c r="I46" s="4"/>
      <c r="J46" s="4"/>
      <c r="K46" s="4">
        <f t="shared" si="4"/>
        <v>-16.468761201447734</v>
      </c>
      <c r="L46" s="4">
        <f t="shared" si="5"/>
        <v>42.077205080288635</v>
      </c>
      <c r="M46" s="4">
        <f t="shared" si="6"/>
        <v>271.22009551031022</v>
      </c>
      <c r="N46" s="4">
        <f t="shared" si="7"/>
        <v>1770.4911873686679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217.2</v>
      </c>
      <c r="C47" s="25">
        <v>38</v>
      </c>
      <c r="D47" s="4">
        <f>IF(B47,B47-$C$4," ")</f>
        <v>-52.800000000000011</v>
      </c>
      <c r="E47" s="4">
        <f>IF(B47,INT(D47)," ")</f>
        <v>-53</v>
      </c>
      <c r="F47" s="4">
        <f>IF(B47,((D47-E47)/60*100)," ")</f>
        <v>0.33333333333331439</v>
      </c>
      <c r="G47" s="4">
        <f>IF(B47,C47*COS(PI()/180*(E47+F47))," ")</f>
        <v>23.045141245154902</v>
      </c>
      <c r="H47" s="4">
        <f>IF(B47,(C47*SIN(PI()/180*(E47+F47)))," ")</f>
        <v>-30.214590266804226</v>
      </c>
      <c r="I47" s="4"/>
      <c r="J47" s="4"/>
      <c r="K47" s="4">
        <f t="shared" ref="K47:K61" si="8">IF(B47,SUM(G47,-$I$12)," ")</f>
        <v>-33.091286970854604</v>
      </c>
      <c r="L47" s="4">
        <f t="shared" ref="L47:L61" si="9">IF(B47,SUM(H47,-$J$12)," ")</f>
        <v>42.300686263920426</v>
      </c>
      <c r="M47" s="4">
        <f t="shared" ref="M47:M61" si="10">IF(B47,POWER(K47,2)," ")</f>
        <v>1095.0332733874516</v>
      </c>
      <c r="N47" s="4">
        <f t="shared" ref="N47:N61" si="11">IF(B47,POWER(L47,2)," ")</f>
        <v>1789.3480583986261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236.55</v>
      </c>
      <c r="C48" s="25">
        <v>54</v>
      </c>
      <c r="D48" s="4">
        <f>IF(B48,B48-$C$4," ")</f>
        <v>-33.449999999999989</v>
      </c>
      <c r="E48" s="4">
        <f>IF(B48,INT(D48)," ")</f>
        <v>-34</v>
      </c>
      <c r="F48" s="4">
        <f>IF(B48,((D48-E48)/60*100)," ")</f>
        <v>0.91666666666668561</v>
      </c>
      <c r="G48" s="4">
        <f>IF(B48,C48*COS(PI()/180*(E48+F48))," ")</f>
        <v>45.245386933049062</v>
      </c>
      <c r="H48" s="4">
        <f>IF(B48,(C48*SIN(PI()/180*(E48+F48)))," ")</f>
        <v>-29.476345792493916</v>
      </c>
      <c r="I48" s="4"/>
      <c r="J48" s="4"/>
      <c r="K48" s="4">
        <f t="shared" si="8"/>
        <v>-10.891041282960444</v>
      </c>
      <c r="L48" s="4">
        <f t="shared" si="9"/>
        <v>43.038930738230732</v>
      </c>
      <c r="M48" s="4">
        <f t="shared" si="10"/>
        <v>118.61478022714867</v>
      </c>
      <c r="N48" s="4">
        <f t="shared" si="11"/>
        <v>1852.3495590902221</v>
      </c>
      <c r="O48" s="4"/>
      <c r="P48" s="4"/>
      <c r="Q48" s="4"/>
      <c r="R48" s="4"/>
      <c r="S48" s="4"/>
      <c r="T48" s="4"/>
      <c r="U48" s="4"/>
      <c r="V48" s="4"/>
      <c r="W48" s="5"/>
    </row>
    <row r="49" spans="1:30">
      <c r="A49" s="3">
        <v>12</v>
      </c>
      <c r="B49" s="25">
        <v>238.4</v>
      </c>
      <c r="C49" s="25">
        <v>54</v>
      </c>
      <c r="D49" s="4">
        <f>IF(B49,B49-$C$4," ")</f>
        <v>-31.599999999999994</v>
      </c>
      <c r="E49" s="4">
        <f>IF(B49,INT(D49)," ")</f>
        <v>-32</v>
      </c>
      <c r="F49" s="4">
        <f>IF(B49,((D49-E49)/60*100)," ")</f>
        <v>0.66666666666667618</v>
      </c>
      <c r="G49" s="4">
        <f>IF(B49,C49*COS(PI()/180*(E49+F49))," ")</f>
        <v>46.124447845348385</v>
      </c>
      <c r="H49" s="4">
        <f>IF(B49,(C49*SIN(PI()/180*(E49+F49)))," ")</f>
        <v>-28.08087090817763</v>
      </c>
      <c r="I49" s="4"/>
      <c r="J49" s="4"/>
      <c r="K49" s="4">
        <f t="shared" si="8"/>
        <v>-10.011980370661121</v>
      </c>
      <c r="L49" s="4">
        <f t="shared" si="9"/>
        <v>44.434405622547018</v>
      </c>
      <c r="M49" s="4">
        <f t="shared" si="10"/>
        <v>100.23975094250359</v>
      </c>
      <c r="N49" s="4">
        <f t="shared" si="11"/>
        <v>1974.4164030290381</v>
      </c>
      <c r="O49" s="4"/>
      <c r="P49" s="4"/>
      <c r="Q49" s="4"/>
      <c r="R49" s="4"/>
      <c r="S49" s="4"/>
      <c r="T49" s="4"/>
      <c r="U49" s="4"/>
      <c r="V49" s="4"/>
      <c r="W49" s="5"/>
    </row>
    <row r="50" spans="1:30">
      <c r="A50" s="3">
        <v>13</v>
      </c>
      <c r="B50" s="25">
        <v>222.05</v>
      </c>
      <c r="C50" s="25">
        <v>32</v>
      </c>
      <c r="D50" s="4">
        <f>IF(B50,B50-$C$4," ")</f>
        <v>-47.949999999999989</v>
      </c>
      <c r="E50" s="4">
        <f>IF(B50,INT(D50)," ")</f>
        <v>-48</v>
      </c>
      <c r="F50" s="4">
        <f>IF(B50,((D50-E50)/60*100)," ")</f>
        <v>8.3333333333352286E-2</v>
      </c>
      <c r="G50" s="4">
        <f>IF(B50,C50*COS(PI()/180*(E50+F50))," ")</f>
        <v>21.446744274374275</v>
      </c>
      <c r="H50" s="4">
        <f>IF(B50,(C50*SIN(PI()/180*(E50+F50)))," ")</f>
        <v>-23.749466520947252</v>
      </c>
      <c r="I50" s="4"/>
      <c r="J50" s="4"/>
      <c r="K50" s="4">
        <f t="shared" ref="K50:K58" si="12">IF(B50,SUM(G50,-$I$12)," ")</f>
        <v>-34.689683941635231</v>
      </c>
      <c r="L50" s="4">
        <f t="shared" ref="L50:L58" si="13">IF(B50,SUM(H50,-$J$12)," ")</f>
        <v>48.765810009777397</v>
      </c>
      <c r="M50" s="4">
        <f t="shared" ref="M50:M58" si="14">IF(B50,POWER(K50,2)," ")</f>
        <v>1203.3741719705451</v>
      </c>
      <c r="N50" s="4">
        <f t="shared" ref="N50:N58" si="15">IF(B50,POWER(L50,2)," ")</f>
        <v>2378.1042259097053</v>
      </c>
      <c r="O50" s="4"/>
      <c r="P50" s="4"/>
      <c r="Q50" s="4"/>
      <c r="R50" s="4"/>
      <c r="S50" s="4"/>
      <c r="T50" s="4"/>
      <c r="U50" s="4"/>
      <c r="V50" s="4"/>
      <c r="W50" s="5"/>
      <c r="Z50" s="25"/>
      <c r="AA50" s="25"/>
      <c r="AC50" s="25"/>
      <c r="AD50" s="25"/>
    </row>
    <row r="51" spans="1:30">
      <c r="A51" s="3">
        <v>14</v>
      </c>
      <c r="B51" s="25">
        <v>226.55</v>
      </c>
      <c r="C51" s="25">
        <v>34</v>
      </c>
      <c r="D51" s="4">
        <f>IF(B51,B51-$C$4," ")</f>
        <v>-43.449999999999989</v>
      </c>
      <c r="E51" s="4">
        <f>IF(B51,INT(D51)," ")</f>
        <v>-44</v>
      </c>
      <c r="F51" s="4">
        <f>IF(B51,((D51-E51)/60*100)," ")</f>
        <v>0.91666666666668561</v>
      </c>
      <c r="G51" s="4">
        <f>IF(B51,C51*COS(PI()/180*(E51+F51))," ")</f>
        <v>24.83227406835077</v>
      </c>
      <c r="H51" s="4">
        <f>IF(B51,(C51*SIN(PI()/180*(E51+F51)))," ")</f>
        <v>-23.224085872092232</v>
      </c>
      <c r="I51" s="4"/>
      <c r="J51" s="4"/>
      <c r="K51" s="4">
        <f t="shared" si="12"/>
        <v>-31.304154147658735</v>
      </c>
      <c r="L51" s="4">
        <f t="shared" si="13"/>
        <v>49.291190658632416</v>
      </c>
      <c r="M51" s="4">
        <f t="shared" si="14"/>
        <v>979.95006690037962</v>
      </c>
      <c r="N51" s="4">
        <f t="shared" si="15"/>
        <v>2429.6214765456516</v>
      </c>
      <c r="O51" s="4"/>
      <c r="P51" s="4"/>
      <c r="Q51" s="4"/>
      <c r="R51" s="4"/>
      <c r="S51" s="4"/>
      <c r="T51" s="4"/>
      <c r="U51" s="4"/>
      <c r="V51" s="4"/>
      <c r="W51" s="5"/>
      <c r="Z51" s="25"/>
      <c r="AA51" s="25"/>
      <c r="AC51" s="25"/>
      <c r="AD51" s="25"/>
    </row>
    <row r="52" spans="1:30">
      <c r="A52" s="3">
        <v>15</v>
      </c>
      <c r="B52" s="25">
        <v>247.5</v>
      </c>
      <c r="C52" s="25">
        <v>60</v>
      </c>
      <c r="D52" s="4">
        <f>IF(B52,B52-$C$4," ")</f>
        <v>-22.5</v>
      </c>
      <c r="E52" s="4">
        <f>IF(B52,INT(D52)," ")</f>
        <v>-23</v>
      </c>
      <c r="F52" s="4">
        <f>IF(B52,((D52-E52)/60*100)," ")</f>
        <v>0.83333333333333337</v>
      </c>
      <c r="G52" s="4">
        <f>IF(B52,C52*COS(PI()/180*(E52+F52))," ")</f>
        <v>55.565414818202271</v>
      </c>
      <c r="H52" s="4">
        <f>IF(B52,(C52*SIN(PI()/180*(E52+F52)))," ")</f>
        <v>-22.638124394063819</v>
      </c>
      <c r="I52" s="4"/>
      <c r="J52" s="4"/>
      <c r="K52" s="4">
        <f t="shared" si="12"/>
        <v>-0.57101339780723492</v>
      </c>
      <c r="L52" s="4">
        <f t="shared" si="13"/>
        <v>49.877152136660825</v>
      </c>
      <c r="M52" s="4">
        <f t="shared" si="14"/>
        <v>0.32605630047536355</v>
      </c>
      <c r="N52" s="4">
        <f t="shared" si="15"/>
        <v>2487.7303052636094</v>
      </c>
      <c r="O52" s="4"/>
      <c r="P52" s="4"/>
      <c r="Q52" s="4"/>
      <c r="R52" s="4"/>
      <c r="S52" s="4"/>
      <c r="T52" s="4"/>
      <c r="U52" s="4"/>
      <c r="V52" s="4"/>
      <c r="W52" s="5"/>
      <c r="Z52" s="25"/>
      <c r="AA52" s="25"/>
      <c r="AC52" s="25"/>
      <c r="AD52" s="25"/>
    </row>
    <row r="53" spans="1:30">
      <c r="A53" s="3">
        <v>16</v>
      </c>
      <c r="B53" s="25">
        <v>244.15</v>
      </c>
      <c r="C53" s="25">
        <v>52</v>
      </c>
      <c r="D53" s="4">
        <f>IF(B53,B53-$C$4," ")</f>
        <v>-25.849999999999994</v>
      </c>
      <c r="E53" s="4">
        <f>IF(B53,INT(D53)," ")</f>
        <v>-26</v>
      </c>
      <c r="F53" s="4">
        <f>IF(B53,((D53-E53)/60*100)," ")</f>
        <v>0.25000000000000944</v>
      </c>
      <c r="G53" s="4">
        <f>IF(B53,C53*COS(PI()/180*(E53+F53))," ")</f>
        <v>46.836308444774573</v>
      </c>
      <c r="H53" s="4">
        <f>IF(B53,(C53*SIN(PI()/180*(E53+F53)))," ")</f>
        <v>-22.591153385029681</v>
      </c>
      <c r="I53" s="4"/>
      <c r="J53" s="4"/>
      <c r="K53" s="4">
        <f t="shared" si="12"/>
        <v>-9.3001197712349324</v>
      </c>
      <c r="L53" s="4">
        <f t="shared" si="13"/>
        <v>49.924123145694963</v>
      </c>
      <c r="M53" s="4">
        <f t="shared" si="14"/>
        <v>86.492227759314886</v>
      </c>
      <c r="N53" s="4">
        <f t="shared" si="15"/>
        <v>2492.4180718665157</v>
      </c>
      <c r="O53" s="4"/>
      <c r="P53" s="4"/>
      <c r="Q53" s="4"/>
      <c r="R53" s="4"/>
      <c r="S53" s="4"/>
      <c r="T53" s="4"/>
      <c r="U53" s="4"/>
      <c r="V53" s="4"/>
      <c r="W53" s="5"/>
      <c r="Z53" s="25"/>
      <c r="AA53" s="25"/>
      <c r="AC53" s="25"/>
      <c r="AD53" s="25"/>
    </row>
    <row r="54" spans="1:30">
      <c r="A54" s="3">
        <v>17</v>
      </c>
      <c r="B54" s="25">
        <v>210.1</v>
      </c>
      <c r="C54" s="25">
        <v>26</v>
      </c>
      <c r="D54" s="4">
        <f>IF(B54,B54-$C$4," ")</f>
        <v>-59.900000000000006</v>
      </c>
      <c r="E54" s="4">
        <f>IF(B54,INT(D54)," ")</f>
        <v>-60</v>
      </c>
      <c r="F54" s="4">
        <f>IF(B54,((D54-E54)/60*100)," ")</f>
        <v>0.16666666666665719</v>
      </c>
      <c r="G54" s="4">
        <f>IF(B54,C54*COS(PI()/180*(E54+F54))," ")</f>
        <v>13.065443217676451</v>
      </c>
      <c r="H54" s="4">
        <f>IF(B54,(C54*SIN(PI()/180*(E54+F54)))," ")</f>
        <v>-22.478749821234995</v>
      </c>
      <c r="I54" s="4"/>
      <c r="J54" s="4"/>
      <c r="K54" s="4">
        <f t="shared" si="12"/>
        <v>-43.070984998333053</v>
      </c>
      <c r="L54" s="4">
        <f t="shared" si="13"/>
        <v>50.03652670948965</v>
      </c>
      <c r="M54" s="4">
        <f t="shared" si="14"/>
        <v>1855.1097487266309</v>
      </c>
      <c r="N54" s="4">
        <f t="shared" si="15"/>
        <v>2503.6540051494712</v>
      </c>
      <c r="O54" s="4"/>
      <c r="P54" s="4"/>
      <c r="Q54" s="4"/>
      <c r="R54" s="4"/>
      <c r="S54" s="4"/>
      <c r="T54" s="4"/>
      <c r="U54" s="4"/>
      <c r="V54" s="4"/>
      <c r="W54" s="5"/>
      <c r="Z54" s="25"/>
      <c r="AA54" s="25"/>
      <c r="AC54" s="25"/>
      <c r="AD54" s="25"/>
    </row>
    <row r="55" spans="1:30">
      <c r="A55" s="3">
        <v>18</v>
      </c>
      <c r="B55" s="25">
        <v>254.2</v>
      </c>
      <c r="C55" s="25">
        <v>74</v>
      </c>
      <c r="D55" s="4">
        <f>IF(B55,B55-$C$4," ")</f>
        <v>-15.800000000000011</v>
      </c>
      <c r="E55" s="4">
        <f>IF(B55,INT(D55)," ")</f>
        <v>-16</v>
      </c>
      <c r="F55" s="4">
        <f>IF(B55,((D55-E55)/60*100)," ")</f>
        <v>0.33333333333331439</v>
      </c>
      <c r="G55" s="4">
        <f>IF(B55,C55*COS(PI()/180*(E55+F55))," ")</f>
        <v>71.250826921850376</v>
      </c>
      <c r="H55" s="4">
        <f>IF(B55,(C55*SIN(PI()/180*(E55+F55)))," ")</f>
        <v>-19.982984335492084</v>
      </c>
      <c r="I55" s="4"/>
      <c r="J55" s="4"/>
      <c r="K55" s="4">
        <f t="shared" si="12"/>
        <v>15.11439870584087</v>
      </c>
      <c r="L55" s="4">
        <f t="shared" si="13"/>
        <v>52.532292195232564</v>
      </c>
      <c r="M55" s="4">
        <f t="shared" si="14"/>
        <v>228.44504823912416</v>
      </c>
      <c r="N55" s="4">
        <f t="shared" si="15"/>
        <v>2759.6417232852923</v>
      </c>
      <c r="O55" s="4"/>
      <c r="P55" s="4"/>
      <c r="Q55" s="4"/>
      <c r="R55" s="4"/>
      <c r="S55" s="4"/>
      <c r="T55" s="4"/>
      <c r="U55" s="4"/>
      <c r="V55" s="4"/>
      <c r="W55" s="5"/>
      <c r="Z55" s="25"/>
      <c r="AA55" s="25"/>
      <c r="AC55" s="25"/>
      <c r="AD55" s="25"/>
    </row>
    <row r="56" spans="1:30">
      <c r="A56" s="3">
        <v>19</v>
      </c>
      <c r="B56" s="25">
        <v>243.25</v>
      </c>
      <c r="C56" s="25">
        <v>44</v>
      </c>
      <c r="D56" s="4">
        <f>IF(B56,B56-$C$4," ")</f>
        <v>-26.75</v>
      </c>
      <c r="E56" s="4">
        <f>IF(B56,INT(D56)," ")</f>
        <v>-27</v>
      </c>
      <c r="F56" s="4">
        <f>IF(B56,((D56-E56)/60*100)," ")</f>
        <v>0.41666666666666669</v>
      </c>
      <c r="G56" s="4">
        <f>IF(B56,C56*COS(PI()/180*(E56+F56))," ")</f>
        <v>39.348515661252677</v>
      </c>
      <c r="H56" s="4">
        <f>IF(B56,(C56*SIN(PI()/180*(E56+F56)))," ")</f>
        <v>-19.689954678875029</v>
      </c>
      <c r="I56" s="4"/>
      <c r="J56" s="4"/>
      <c r="K56" s="4">
        <f t="shared" si="12"/>
        <v>-16.787912554756829</v>
      </c>
      <c r="L56" s="4">
        <f t="shared" si="13"/>
        <v>52.825321851849623</v>
      </c>
      <c r="M56" s="4">
        <f t="shared" si="14"/>
        <v>281.83400794616199</v>
      </c>
      <c r="N56" s="4">
        <f t="shared" si="15"/>
        <v>2790.5146287515013</v>
      </c>
      <c r="O56" s="4"/>
      <c r="P56" s="4"/>
      <c r="Q56" s="4"/>
      <c r="R56" s="4"/>
      <c r="S56" s="4"/>
      <c r="T56" s="4"/>
      <c r="U56" s="4"/>
      <c r="V56" s="4"/>
      <c r="W56" s="5"/>
      <c r="Z56" s="25"/>
      <c r="AA56" s="25"/>
      <c r="AC56" s="25"/>
      <c r="AD56" s="25"/>
    </row>
    <row r="57" spans="1:30" ht="15.75" thickBot="1">
      <c r="A57" s="3">
        <v>20</v>
      </c>
      <c r="B57" s="25">
        <v>215.25</v>
      </c>
      <c r="C57" s="25">
        <v>24</v>
      </c>
      <c r="D57" s="4">
        <f>IF(B57,B57-$C$4," ")</f>
        <v>-54.75</v>
      </c>
      <c r="E57" s="4">
        <f>IF(B57,INT(D57)," ")</f>
        <v>-55</v>
      </c>
      <c r="F57" s="4">
        <f>IF(B57,((D57-E57)/60*100)," ")</f>
        <v>0.41666666666666669</v>
      </c>
      <c r="G57" s="4">
        <f>IF(B57,C57*COS(PI()/180*(E57+F57))," ")</f>
        <v>13.908438213490916</v>
      </c>
      <c r="H57" s="4">
        <f>IF(B57,(C57*SIN(PI()/180*(E57+F57)))," ")</f>
        <v>-19.559022124367711</v>
      </c>
      <c r="I57" s="4"/>
      <c r="J57" s="4"/>
      <c r="K57" s="4">
        <f t="shared" si="12"/>
        <v>-42.227990002518588</v>
      </c>
      <c r="L57" s="4">
        <f t="shared" si="13"/>
        <v>52.956254406356933</v>
      </c>
      <c r="M57" s="4">
        <f t="shared" si="14"/>
        <v>1783.2031396528098</v>
      </c>
      <c r="N57" s="4">
        <f t="shared" si="15"/>
        <v>2804.364880750798</v>
      </c>
      <c r="O57" s="4"/>
      <c r="P57" s="4"/>
      <c r="Q57" s="4"/>
      <c r="R57" s="4"/>
      <c r="S57" s="4"/>
      <c r="T57" s="4"/>
      <c r="U57" s="4"/>
      <c r="V57" s="4"/>
      <c r="W57" s="5"/>
      <c r="Z57" s="25"/>
      <c r="AA57" s="26"/>
    </row>
    <row r="58" spans="1:30">
      <c r="A58" s="3">
        <v>21</v>
      </c>
      <c r="B58" s="25">
        <v>254.4</v>
      </c>
      <c r="C58" s="25">
        <v>72</v>
      </c>
      <c r="D58" s="4">
        <f>IF(B58,B58-$C$4," ")</f>
        <v>-15.599999999999994</v>
      </c>
      <c r="E58" s="4">
        <f>IF(B58,INT(D58)," ")</f>
        <v>-16</v>
      </c>
      <c r="F58" s="4">
        <f>IF(B58,((D58-E58)/60*100)," ")</f>
        <v>0.66666666666667618</v>
      </c>
      <c r="G58" s="4">
        <f>IF(B58,C58*COS(PI()/180*(E58+F58))," ")</f>
        <v>69.437069288275609</v>
      </c>
      <c r="H58" s="4">
        <f>IF(B58,(C58*SIN(PI()/180*(E58+F58)))," ")</f>
        <v>-19.039259666678547</v>
      </c>
      <c r="I58" s="4"/>
      <c r="J58" s="4"/>
      <c r="K58" s="4">
        <f t="shared" si="12"/>
        <v>13.300641072266103</v>
      </c>
      <c r="L58" s="4">
        <f t="shared" si="13"/>
        <v>53.476016864046102</v>
      </c>
      <c r="M58" s="4">
        <f t="shared" si="14"/>
        <v>176.907052933252</v>
      </c>
      <c r="N58" s="4">
        <f t="shared" si="15"/>
        <v>2859.6843796437429</v>
      </c>
      <c r="O58" s="4"/>
      <c r="P58" s="4"/>
      <c r="Q58" s="4"/>
      <c r="R58" s="4"/>
      <c r="S58" s="4"/>
      <c r="T58" s="4"/>
      <c r="U58" s="4"/>
      <c r="V58" s="4"/>
      <c r="W58" s="5"/>
    </row>
    <row r="59" spans="1:30">
      <c r="A59" s="3">
        <v>22</v>
      </c>
      <c r="B59" s="25">
        <v>244.4</v>
      </c>
      <c r="C59" s="25">
        <v>42</v>
      </c>
      <c r="D59" s="4">
        <f>IF(B59,B59-$C$4," ")</f>
        <v>-25.599999999999994</v>
      </c>
      <c r="E59" s="4">
        <f>IF(B59,INT(D59)," ")</f>
        <v>-26</v>
      </c>
      <c r="F59" s="4">
        <f>IF(B59,((D59-E59)/60*100)," ")</f>
        <v>0.66666666666667618</v>
      </c>
      <c r="G59" s="4">
        <f>IF(B59,C59*COS(PI()/180*(E59+F59))," ")</f>
        <v>37.961018337837864</v>
      </c>
      <c r="H59" s="4">
        <f>IF(B59,(C59*SIN(PI()/180*(E59+F59)))," ")</f>
        <v>-17.971118127549474</v>
      </c>
      <c r="I59" s="4"/>
      <c r="J59" s="4"/>
      <c r="K59" s="4">
        <f t="shared" si="8"/>
        <v>-18.175409878171642</v>
      </c>
      <c r="L59" s="4">
        <f t="shared" si="9"/>
        <v>54.544158403175174</v>
      </c>
      <c r="M59" s="4">
        <f t="shared" si="10"/>
        <v>330.34552423953932</v>
      </c>
      <c r="N59" s="4">
        <f t="shared" si="11"/>
        <v>2975.0652159106648</v>
      </c>
      <c r="O59" s="4"/>
      <c r="P59" s="4"/>
      <c r="Q59" s="4"/>
      <c r="R59" s="4"/>
      <c r="S59" s="4"/>
      <c r="T59" s="4"/>
      <c r="U59" s="4"/>
      <c r="V59" s="4"/>
      <c r="W59" s="5"/>
    </row>
    <row r="60" spans="1:30">
      <c r="A60" s="3">
        <v>23</v>
      </c>
      <c r="B60" s="25">
        <v>252.4</v>
      </c>
      <c r="C60" s="25">
        <v>60</v>
      </c>
      <c r="D60" s="4">
        <f>IF(B60,B60-$C$4," ")</f>
        <v>-17.599999999999994</v>
      </c>
      <c r="E60" s="4">
        <f>IF(B60,INT(D60)," ")</f>
        <v>-18</v>
      </c>
      <c r="F60" s="4">
        <f>IF(B60,((D60-E60)/60*100)," ")</f>
        <v>0.66666666666667618</v>
      </c>
      <c r="G60" s="4">
        <f>IF(B60,C60*COS(PI()/180*(E60+F60))," ")</f>
        <v>57.275257934863923</v>
      </c>
      <c r="H60" s="4">
        <f>IF(B60,(C60*SIN(PI()/180*(E60+F60)))," ")</f>
        <v>-17.875816862308909</v>
      </c>
      <c r="I60" s="4"/>
      <c r="J60" s="4"/>
      <c r="K60" s="4">
        <f t="shared" si="8"/>
        <v>1.1388297188544172</v>
      </c>
      <c r="L60" s="4">
        <f t="shared" si="9"/>
        <v>54.639459668415739</v>
      </c>
      <c r="M60" s="4">
        <f t="shared" si="10"/>
        <v>1.2969331285460308</v>
      </c>
      <c r="N60" s="4">
        <f t="shared" si="11"/>
        <v>2985.47055285643</v>
      </c>
      <c r="O60" s="4"/>
      <c r="P60" s="4"/>
      <c r="Q60" s="4"/>
      <c r="R60" s="4"/>
      <c r="S60" s="4"/>
      <c r="T60" s="4"/>
      <c r="U60" s="4"/>
      <c r="V60" s="4"/>
      <c r="W60" s="5"/>
    </row>
    <row r="61" spans="1:30" ht="15.75" thickBot="1">
      <c r="A61" s="6">
        <v>24</v>
      </c>
      <c r="B61" s="25">
        <v>267</v>
      </c>
      <c r="C61" s="25">
        <v>40</v>
      </c>
      <c r="D61" s="7">
        <f>IF(B61,B61-$C$4," ")</f>
        <v>-3</v>
      </c>
      <c r="E61" s="7">
        <f>IF(B61,INT(D61)," ")</f>
        <v>-3</v>
      </c>
      <c r="F61" s="7">
        <f>IF(B61,((D61-E61)/60*100)," ")</f>
        <v>0</v>
      </c>
      <c r="G61" s="7">
        <f>IF(B61,C61*COS(PI()/180*(E61+F61))," ")</f>
        <v>39.945181390182952</v>
      </c>
      <c r="H61" s="7">
        <f>IF(B61,(C61*SIN(PI()/180*(E61+F61)))," ")</f>
        <v>-2.0934382497177535</v>
      </c>
      <c r="I61" s="7"/>
      <c r="J61" s="7"/>
      <c r="K61" s="7">
        <f t="shared" si="8"/>
        <v>-16.191246825826553</v>
      </c>
      <c r="L61" s="7">
        <f t="shared" si="9"/>
        <v>70.421838281006899</v>
      </c>
      <c r="M61" s="7">
        <f t="shared" si="10"/>
        <v>262.15647377483845</v>
      </c>
      <c r="N61" s="7">
        <f t="shared" si="11"/>
        <v>4959.2353068762886</v>
      </c>
      <c r="O61" s="7"/>
      <c r="P61" s="7"/>
      <c r="Q61" s="7"/>
      <c r="R61" s="7"/>
      <c r="S61" s="7"/>
      <c r="T61" s="7"/>
      <c r="U61" s="7"/>
      <c r="V61" s="7"/>
      <c r="W61" s="8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sortState ref="B38:H61">
    <sortCondition ref="H38:H61"/>
  </sortState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2"/>
  </sheetPr>
  <dimension ref="A1:AA62"/>
  <sheetViews>
    <sheetView zoomScale="55" zoomScaleNormal="55" workbookViewId="0">
      <selection activeCell="AE75" sqref="AE75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24"/>
      <c r="H2" s="24"/>
      <c r="I2" s="107" t="s">
        <v>23</v>
      </c>
      <c r="J2" s="108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67.76253086472488</v>
      </c>
      <c r="J4" s="17">
        <f>(J12+J38)/2</f>
        <v>74.735983173431322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24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7">
        <v>322.25</v>
      </c>
      <c r="C12" s="25">
        <v>108</v>
      </c>
      <c r="D12" s="4">
        <f>IF(B12,B12-$C$4," ")</f>
        <v>52.25</v>
      </c>
      <c r="E12" s="4">
        <f>IF(B12,INT(D12)," ")</f>
        <v>52</v>
      </c>
      <c r="F12" s="4">
        <f>IF(B12,((D12-E12)/60*100)," ")</f>
        <v>0.41666666666666669</v>
      </c>
      <c r="G12" s="4">
        <f>IF(B12,C12*COS(PI()/180*(E12+F12))," ")</f>
        <v>65.870784400544466</v>
      </c>
      <c r="H12" s="4">
        <f>IF(B12,(C12*SIN(PI()/180*(E12+F12)))," ")</f>
        <v>85.586446137557246</v>
      </c>
      <c r="I12" s="4">
        <f>SUM(G12:G35)/D6</f>
        <v>79.181424539889463</v>
      </c>
      <c r="J12" s="4">
        <f>SUM(H12:H35)/D6</f>
        <v>101.31865888817124</v>
      </c>
      <c r="K12" s="4">
        <f>IF(B12,SUM(G12,-$I$12)," ")</f>
        <v>-13.310640139344997</v>
      </c>
      <c r="L12" s="4">
        <f>IF(B12,SUM(H12,-$J$12)," ")</f>
        <v>-15.732212750613996</v>
      </c>
      <c r="M12" s="4">
        <f>IF(B12,POWER(K12,2)," ")</f>
        <v>177.17314091914221</v>
      </c>
      <c r="N12" s="4">
        <f>IF(B12,POWER(L12,2)," ")</f>
        <v>247.5025180305816</v>
      </c>
      <c r="O12" s="4">
        <f>D6-1</f>
        <v>23</v>
      </c>
      <c r="P12" s="4">
        <f>SUM(M12:M35)</f>
        <v>5497.4114548527887</v>
      </c>
      <c r="Q12" s="4">
        <f>SUM(N12:N35)</f>
        <v>898.54139961561975</v>
      </c>
      <c r="R12" s="4">
        <f>PRODUCT(P12,1/$O$12)</f>
        <v>239.01788934142559</v>
      </c>
      <c r="S12" s="4">
        <f>PRODUCT(Q12,1/$O$12)</f>
        <v>39.067017374592162</v>
      </c>
      <c r="T12" s="4">
        <f>SQRT(R12)</f>
        <v>15.460203405564418</v>
      </c>
      <c r="U12" s="4">
        <f>SQRT(S12)</f>
        <v>6.2503613795197603</v>
      </c>
      <c r="V12" s="4">
        <f>PRODUCT(T12:U12)</f>
        <v>96.631858285659703</v>
      </c>
      <c r="W12" s="10">
        <f>SQRT(V12)</f>
        <v>9.8301504711606373</v>
      </c>
    </row>
    <row r="13" spans="1:23">
      <c r="A13" s="3">
        <v>2</v>
      </c>
      <c r="B13" s="27">
        <v>325.2</v>
      </c>
      <c r="C13" s="25">
        <v>112</v>
      </c>
      <c r="D13" s="4">
        <f>IF(B13,B13-$C$4," ")</f>
        <v>55.199999999999989</v>
      </c>
      <c r="E13" s="4">
        <f>IF(B13,INT(D13)," ")</f>
        <v>55</v>
      </c>
      <c r="F13" s="4">
        <f>IF(B13,((D13-E13)/60*100)," ")</f>
        <v>0.33333333333331439</v>
      </c>
      <c r="G13" s="4">
        <f>IF(B13,C13*COS(PI()/180*(E13+F13))," ")</f>
        <v>63.705725787519427</v>
      </c>
      <c r="H13" s="4">
        <f>IF(B13,(C13*SIN(PI()/180*(E13+F13)))," ")</f>
        <v>92.117210671434151</v>
      </c>
      <c r="I13" s="4"/>
      <c r="J13" s="4"/>
      <c r="K13" s="4">
        <f t="shared" ref="K13:K35" si="0">IF(B13,SUM(G13,-$I$12)," ")</f>
        <v>-15.475698752370036</v>
      </c>
      <c r="L13" s="4">
        <f t="shared" ref="L13:L35" si="1">IF(B13,SUM(H13,-$J$12)," ")</f>
        <v>-9.2014482167370915</v>
      </c>
      <c r="M13" s="4">
        <f t="shared" ref="M13:M35" si="2">IF(B13,POWER(K13,2)," ")</f>
        <v>239.49725187410749</v>
      </c>
      <c r="N13" s="4">
        <f t="shared" ref="N13:N34" si="3">IF(B13,POWER(L13,2)," ")</f>
        <v>84.666649285294199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317.2</v>
      </c>
      <c r="C14" s="25">
        <v>126</v>
      </c>
      <c r="D14" s="4">
        <f>IF(B14,B14-$C$4," ")</f>
        <v>47.199999999999989</v>
      </c>
      <c r="E14" s="4">
        <f>IF(B14,INT(D14)," ")</f>
        <v>47</v>
      </c>
      <c r="F14" s="4">
        <f>IF(B14,((D14-E14)/60*100)," ")</f>
        <v>0.33333333333331439</v>
      </c>
      <c r="G14" s="4">
        <f>IF(B14,C14*COS(PI()/180*(E14+F14))," ")</f>
        <v>85.394231892362299</v>
      </c>
      <c r="H14" s="4">
        <f>IF(B14,(C14*SIN(PI()/180*(E14+F14)))," ")</f>
        <v>92.64893501553837</v>
      </c>
      <c r="I14" s="4"/>
      <c r="J14" s="4"/>
      <c r="K14" s="4">
        <f t="shared" si="0"/>
        <v>6.2128073524728364</v>
      </c>
      <c r="L14" s="4">
        <f t="shared" si="1"/>
        <v>-8.669723872632872</v>
      </c>
      <c r="M14" s="4">
        <f t="shared" si="2"/>
        <v>38.598975198940536</v>
      </c>
      <c r="N14" s="4">
        <f t="shared" si="3"/>
        <v>75.164112027700327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320.2</v>
      </c>
      <c r="C15" s="25">
        <v>122</v>
      </c>
      <c r="D15" s="4">
        <f>IF(B15,B15-$C$4," ")</f>
        <v>50.199999999999989</v>
      </c>
      <c r="E15" s="4">
        <f>IF(B15,INT(D15)," ")</f>
        <v>50</v>
      </c>
      <c r="F15" s="4">
        <f>IF(B15,((D15-E15)/60*100)," ")</f>
        <v>0.33333333333331439</v>
      </c>
      <c r="G15" s="4">
        <f>IF(B15,C15*COS(PI()/180*(E15+F15))," ")</f>
        <v>77.875051092768075</v>
      </c>
      <c r="H15" s="4">
        <f>IF(B15,(C15*SIN(PI()/180*(E15+F15)))," ")</f>
        <v>93.912067474306852</v>
      </c>
      <c r="I15" s="4"/>
      <c r="J15" s="4"/>
      <c r="K15" s="4">
        <f t="shared" si="0"/>
        <v>-1.3063734471213877</v>
      </c>
      <c r="L15" s="4">
        <f t="shared" si="1"/>
        <v>-7.4065914138643905</v>
      </c>
      <c r="M15" s="4">
        <f t="shared" si="2"/>
        <v>1.7066115833438171</v>
      </c>
      <c r="N15" s="4">
        <f t="shared" si="3"/>
        <v>54.857596371929709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321.5</v>
      </c>
      <c r="C16" s="25">
        <v>122</v>
      </c>
      <c r="D16" s="4">
        <f>IF(B16,B16-$C$4," ")</f>
        <v>51.5</v>
      </c>
      <c r="E16" s="4">
        <f>IF(B16,INT(D16)," ")</f>
        <v>51</v>
      </c>
      <c r="F16" s="4">
        <f>IF(B16,((D16-E16)/60*100)," ")</f>
        <v>0.83333333333333337</v>
      </c>
      <c r="G16" s="4">
        <f>IF(B16,C16*COS(PI()/180*(E16+F16))," ")</f>
        <v>75.390033921970925</v>
      </c>
      <c r="H16" s="4">
        <f>IF(B16,(C16*SIN(PI()/180*(E16+F16)))," ")</f>
        <v>95.918417341218017</v>
      </c>
      <c r="I16" s="4"/>
      <c r="J16" s="4"/>
      <c r="K16" s="4">
        <f t="shared" si="0"/>
        <v>-3.7913906179185375</v>
      </c>
      <c r="L16" s="4">
        <f t="shared" si="1"/>
        <v>-5.4002415469532252</v>
      </c>
      <c r="M16" s="4">
        <f t="shared" si="2"/>
        <v>14.37464281764071</v>
      </c>
      <c r="N16" s="4">
        <f t="shared" si="3"/>
        <v>29.162608765439764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7">
        <v>324.5</v>
      </c>
      <c r="C17" s="25">
        <v>120</v>
      </c>
      <c r="D17" s="4">
        <f>IF(B17,B17-$C$4," ")</f>
        <v>54.5</v>
      </c>
      <c r="E17" s="4">
        <f>IF(B17,INT(D17)," ")</f>
        <v>54</v>
      </c>
      <c r="F17" s="4">
        <f>IF(B17,((D17-E17)/60*100)," ")</f>
        <v>0.83333333333333337</v>
      </c>
      <c r="G17" s="4">
        <f>IF(B17,C17*COS(PI()/180*(E17+F17))," ")</f>
        <v>69.114818761737993</v>
      </c>
      <c r="H17" s="4">
        <f>IF(B17,(C17*SIN(PI()/180*(E17+F17)))," ")</f>
        <v>98.097613770835991</v>
      </c>
      <c r="I17" s="4"/>
      <c r="J17" s="4"/>
      <c r="K17" s="4">
        <f t="shared" si="0"/>
        <v>-10.06660577815147</v>
      </c>
      <c r="L17" s="4">
        <f t="shared" si="1"/>
        <v>-3.221045117335251</v>
      </c>
      <c r="M17" s="4">
        <f t="shared" si="2"/>
        <v>101.33655189271255</v>
      </c>
      <c r="N17" s="4">
        <f t="shared" si="3"/>
        <v>10.37513164790926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330.1</v>
      </c>
      <c r="C18" s="25">
        <v>114</v>
      </c>
      <c r="D18" s="4">
        <f>IF(B18,B18-$C$4," ")</f>
        <v>60.100000000000023</v>
      </c>
      <c r="E18" s="4">
        <f>IF(B18,INT(D18)," ")</f>
        <v>60</v>
      </c>
      <c r="F18" s="4">
        <f>IF(B18,((D18-E18)/60*100)," ")</f>
        <v>0.16666666666670457</v>
      </c>
      <c r="G18" s="4">
        <f>IF(B18,C18*COS(PI()/180*(E18+F18))," ")</f>
        <v>56.71257435038244</v>
      </c>
      <c r="H18" s="4">
        <f>IF(B18,(C18*SIN(PI()/180*(E18+F18)))," ")</f>
        <v>98.892284383324579</v>
      </c>
      <c r="I18" s="4"/>
      <c r="J18" s="4"/>
      <c r="K18" s="4">
        <f t="shared" si="0"/>
        <v>-22.468850189507023</v>
      </c>
      <c r="L18" s="4">
        <f t="shared" si="1"/>
        <v>-2.4263745048466632</v>
      </c>
      <c r="M18" s="4">
        <f t="shared" si="2"/>
        <v>504.84922883850982</v>
      </c>
      <c r="N18" s="4">
        <f t="shared" si="3"/>
        <v>5.8872932377698897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331</v>
      </c>
      <c r="C19" s="25">
        <v>114</v>
      </c>
      <c r="D19" s="4">
        <f>IF(B19,B19-$C$4," ")</f>
        <v>61</v>
      </c>
      <c r="E19" s="4">
        <f>IF(B19,INT(D19)," ")</f>
        <v>61</v>
      </c>
      <c r="F19" s="4">
        <f>IF(B19,((D19-E19)/60*100)," ")</f>
        <v>0</v>
      </c>
      <c r="G19" s="4">
        <f>IF(B19,C19*COS(PI()/180*(E19+F19))," ")</f>
        <v>55.268296708082431</v>
      </c>
      <c r="H19" s="4">
        <f>IF(B19,(C19*SIN(PI()/180*(E19+F19)))," ")</f>
        <v>99.70664661389111</v>
      </c>
      <c r="I19" s="4"/>
      <c r="J19" s="4"/>
      <c r="K19" s="4">
        <f t="shared" si="0"/>
        <v>-23.913127831807031</v>
      </c>
      <c r="L19" s="4">
        <f t="shared" si="1"/>
        <v>-1.6120122742801328</v>
      </c>
      <c r="M19" s="4">
        <f t="shared" si="2"/>
        <v>571.83768270034409</v>
      </c>
      <c r="N19" s="4">
        <f t="shared" si="3"/>
        <v>2.5985835724298063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7">
        <v>324.55</v>
      </c>
      <c r="C20" s="25">
        <v>122</v>
      </c>
      <c r="D20" s="4">
        <f>IF(B20,B20-$C$4," ")</f>
        <v>54.550000000000011</v>
      </c>
      <c r="E20" s="4">
        <f>IF(B20,INT(D20)," ")</f>
        <v>54</v>
      </c>
      <c r="F20" s="4">
        <f>IF(B20,((D20-E20)/60*100)," ")</f>
        <v>0.91666666666668561</v>
      </c>
      <c r="G20" s="4">
        <f>IF(B20,C20*COS(PI()/180*(E20+F20))," ")</f>
        <v>70.121602988859792</v>
      </c>
      <c r="H20" s="4">
        <f>IF(B20,(C20*SIN(PI()/180*(E20+F20)))," ")</f>
        <v>99.83466729685</v>
      </c>
      <c r="I20" s="4"/>
      <c r="J20" s="4"/>
      <c r="K20" s="4">
        <f t="shared" si="0"/>
        <v>-9.0598215510296711</v>
      </c>
      <c r="L20" s="4">
        <f t="shared" si="1"/>
        <v>-1.4839915913212423</v>
      </c>
      <c r="M20" s="4">
        <f t="shared" si="2"/>
        <v>82.080366536501671</v>
      </c>
      <c r="N20" s="4">
        <f t="shared" si="3"/>
        <v>2.2022310431121528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>
        <v>330.1</v>
      </c>
      <c r="C21" s="25">
        <v>116</v>
      </c>
      <c r="D21" s="4">
        <f>IF(B21,B21-$C$4," ")</f>
        <v>60.100000000000023</v>
      </c>
      <c r="E21" s="4">
        <f>IF(B21,INT(D21)," ")</f>
        <v>60</v>
      </c>
      <c r="F21" s="4">
        <f>IF(B21,((D21-E21)/60*100)," ")</f>
        <v>0.16666666666670457</v>
      </c>
      <c r="G21" s="4">
        <f>IF(B21,C21*COS(PI()/180*(E21+F21))," ")</f>
        <v>57.707531795125988</v>
      </c>
      <c r="H21" s="4">
        <f>IF(B21,(C21*SIN(PI()/180*(E21+F21)))," ")</f>
        <v>100.62723674092678</v>
      </c>
      <c r="I21" s="4"/>
      <c r="J21" s="4"/>
      <c r="K21" s="4">
        <f t="shared" si="0"/>
        <v>-21.473892744763475</v>
      </c>
      <c r="L21" s="4">
        <f t="shared" si="1"/>
        <v>-0.6914221472444666</v>
      </c>
      <c r="M21" s="4">
        <f t="shared" si="2"/>
        <v>461.12806961360542</v>
      </c>
      <c r="N21" s="4">
        <f t="shared" si="3"/>
        <v>0.47806458570014887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7">
        <v>327.05</v>
      </c>
      <c r="C22" s="25">
        <v>120</v>
      </c>
      <c r="D22" s="4">
        <f>IF(B22,B22-$C$4," ")</f>
        <v>57.050000000000011</v>
      </c>
      <c r="E22" s="4">
        <f>IF(B22,INT(D22)," ")</f>
        <v>57</v>
      </c>
      <c r="F22" s="4">
        <f>IF(B22,((D22-E22)/60*100)," ")</f>
        <v>8.3333333333352286E-2</v>
      </c>
      <c r="G22" s="4">
        <f>IF(B22,C22*COS(PI()/180*(E22+F22))," ")</f>
        <v>65.210239498196387</v>
      </c>
      <c r="H22" s="4">
        <f>IF(B22,(C22*SIN(PI()/180*(E22+F22)))," ")</f>
        <v>100.73541911655438</v>
      </c>
      <c r="I22" s="4"/>
      <c r="J22" s="4"/>
      <c r="K22" s="4">
        <f t="shared" si="0"/>
        <v>-13.971185041693076</v>
      </c>
      <c r="L22" s="4">
        <f t="shared" si="1"/>
        <v>-0.58323977161686003</v>
      </c>
      <c r="M22" s="4">
        <f t="shared" si="2"/>
        <v>195.19401146922834</v>
      </c>
      <c r="N22" s="4">
        <f t="shared" si="3"/>
        <v>0.34016863119568702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7">
        <v>325.39999999999998</v>
      </c>
      <c r="C23" s="25">
        <v>122</v>
      </c>
      <c r="D23" s="4">
        <f>IF(B23,B23-$C$4," ")</f>
        <v>55.399999999999977</v>
      </c>
      <c r="E23" s="4">
        <f>IF(B23,INT(D23)," ")</f>
        <v>55</v>
      </c>
      <c r="F23" s="4">
        <f>IF(B23,((D23-E23)/60*100)," ")</f>
        <v>0.66666666666662877</v>
      </c>
      <c r="G23" s="4">
        <f>IF(B23,C23*COS(PI()/180*(E23+F23))," ")</f>
        <v>68.808800082101826</v>
      </c>
      <c r="H23" s="4">
        <f>IF(B23,(C23*SIN(PI()/180*(E23+F23)))," ")</f>
        <v>100.74397764264296</v>
      </c>
      <c r="I23" s="4"/>
      <c r="J23" s="4"/>
      <c r="K23" s="4">
        <f t="shared" si="0"/>
        <v>-10.372624457787637</v>
      </c>
      <c r="L23" s="4">
        <f t="shared" si="1"/>
        <v>-0.57468124552828215</v>
      </c>
      <c r="M23" s="4">
        <f t="shared" si="2"/>
        <v>107.59133814229428</v>
      </c>
      <c r="N23" s="4">
        <f t="shared" si="3"/>
        <v>0.33025853396193772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317.39999999999998</v>
      </c>
      <c r="C24" s="25">
        <v>138</v>
      </c>
      <c r="D24" s="4">
        <f>IF(B24,B24-$C$4," ")</f>
        <v>47.399999999999977</v>
      </c>
      <c r="E24" s="4">
        <f>IF(B24,INT(D24)," ")</f>
        <v>47</v>
      </c>
      <c r="F24" s="4">
        <f>IF(B24,((D24-E24)/60*100)," ")</f>
        <v>0.66666666666662877</v>
      </c>
      <c r="G24" s="4">
        <f>IF(B24,C24*COS(PI()/180*(E24+F24))," ")</f>
        <v>92.935092533608312</v>
      </c>
      <c r="H24" s="4">
        <f>IF(B24,(C24*SIN(PI()/180*(E24+F24)))," ")</f>
        <v>102.01504092911819</v>
      </c>
      <c r="I24" s="4"/>
      <c r="J24" s="4"/>
      <c r="K24" s="4">
        <f t="shared" si="0"/>
        <v>13.75366799371885</v>
      </c>
      <c r="L24" s="4">
        <f t="shared" si="1"/>
        <v>0.69638204094694345</v>
      </c>
      <c r="M24" s="4">
        <f t="shared" si="2"/>
        <v>189.16338328144627</v>
      </c>
      <c r="N24" s="4">
        <f t="shared" si="3"/>
        <v>0.48494794695343041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320.10000000000002</v>
      </c>
      <c r="C25" s="25">
        <v>134</v>
      </c>
      <c r="D25" s="4">
        <f>IF(B25,B25-$C$4," ")</f>
        <v>50.100000000000023</v>
      </c>
      <c r="E25" s="4">
        <f>IF(B25,INT(D25)," ")</f>
        <v>50</v>
      </c>
      <c r="F25" s="4">
        <f>IF(B25,((D25-E25)/60*100)," ")</f>
        <v>0.16666666666670457</v>
      </c>
      <c r="G25" s="4">
        <f>IF(B25,C25*COS(PI()/180*(E25+F25))," ")</f>
        <v>85.834579089394367</v>
      </c>
      <c r="H25" s="4">
        <f>IF(B25,(C25*SIN(PI()/180*(E25+F25)))," ")</f>
        <v>102.90007304441774</v>
      </c>
      <c r="I25" s="4"/>
      <c r="J25" s="4"/>
      <c r="K25" s="4">
        <f t="shared" si="0"/>
        <v>6.6531545495049045</v>
      </c>
      <c r="L25" s="4">
        <f t="shared" si="1"/>
        <v>1.5814141562464954</v>
      </c>
      <c r="M25" s="4">
        <f t="shared" si="2"/>
        <v>44.264465459597808</v>
      </c>
      <c r="N25" s="4">
        <f t="shared" si="3"/>
        <v>2.5008707335768148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>
        <v>313.3</v>
      </c>
      <c r="C26" s="25">
        <v>150</v>
      </c>
      <c r="D26" s="4">
        <f>IF(B26,B26-$C$4," ")</f>
        <v>43.300000000000011</v>
      </c>
      <c r="E26" s="4">
        <f>IF(B26,INT(D26)," ")</f>
        <v>43</v>
      </c>
      <c r="F26" s="4">
        <f>IF(B26,((D26-E26)/60*100)," ")</f>
        <v>0.50000000000001887</v>
      </c>
      <c r="G26" s="4">
        <f>IF(B26,C26*COS(PI()/180*(E26+F26))," ")</f>
        <v>108.80615565184311</v>
      </c>
      <c r="H26" s="4">
        <f>IF(B26,(C26*SIN(PI()/180*(E26+F26)))," ")</f>
        <v>103.25318635406313</v>
      </c>
      <c r="I26" s="4"/>
      <c r="J26" s="4"/>
      <c r="K26" s="4">
        <f t="shared" si="0"/>
        <v>29.62473111195365</v>
      </c>
      <c r="L26" s="4">
        <f t="shared" si="1"/>
        <v>1.9345274658918896</v>
      </c>
      <c r="M26" s="4">
        <f t="shared" si="2"/>
        <v>877.62469345555462</v>
      </c>
      <c r="N26" s="4">
        <f t="shared" si="3"/>
        <v>3.7423965162900963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>
        <v>319.3</v>
      </c>
      <c r="C27" s="25">
        <v>136</v>
      </c>
      <c r="D27" s="4">
        <f>IF(B27,B27-$C$4," ")</f>
        <v>49.300000000000011</v>
      </c>
      <c r="E27" s="4">
        <f>IF(B27,INT(D27)," ")</f>
        <v>49</v>
      </c>
      <c r="F27" s="4">
        <f>IF(B27,((D27-E27)/60*100)," ")</f>
        <v>0.50000000000001887</v>
      </c>
      <c r="G27" s="4">
        <f>IF(B27,C27*COS(PI()/180*(E27+F27))," ")</f>
        <v>88.324934572904937</v>
      </c>
      <c r="H27" s="4">
        <f>IF(B27,(C27*SIN(PI()/180*(E27+F27)))," ")</f>
        <v>103.41521132160423</v>
      </c>
      <c r="I27" s="4"/>
      <c r="J27" s="4"/>
      <c r="K27" s="4">
        <f t="shared" si="0"/>
        <v>9.1435100330154739</v>
      </c>
      <c r="L27" s="4">
        <f t="shared" si="1"/>
        <v>2.0965524334329899</v>
      </c>
      <c r="M27" s="4">
        <f t="shared" si="2"/>
        <v>83.603775723854639</v>
      </c>
      <c r="N27" s="4">
        <f t="shared" si="3"/>
        <v>4.3955321061337917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317.5</v>
      </c>
      <c r="C28" s="25">
        <v>140</v>
      </c>
      <c r="D28" s="4">
        <f>IF(B28,B28-$C$4," ")</f>
        <v>47.5</v>
      </c>
      <c r="E28" s="4">
        <f>IF(B28,INT(D28)," ")</f>
        <v>47</v>
      </c>
      <c r="F28" s="4">
        <f>IF(B28,((D28-E28)/60*100)," ")</f>
        <v>0.83333333333333337</v>
      </c>
      <c r="G28" s="4">
        <f>IF(B28,C28*COS(PI()/180*(E28+F28))," ")</f>
        <v>93.980529023749682</v>
      </c>
      <c r="H28" s="4">
        <f>IF(B28,(C28*SIN(PI()/180*(E28+F28)))," ")</f>
        <v>103.76733669327811</v>
      </c>
      <c r="I28" s="4"/>
      <c r="J28" s="4"/>
      <c r="K28" s="4">
        <f t="shared" si="0"/>
        <v>14.799104483860219</v>
      </c>
      <c r="L28" s="4">
        <f t="shared" si="1"/>
        <v>2.4486778051068683</v>
      </c>
      <c r="M28" s="4">
        <f t="shared" si="2"/>
        <v>219.01349352421164</v>
      </c>
      <c r="N28" s="4">
        <f t="shared" si="3"/>
        <v>5.99602299322299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7">
        <v>327</v>
      </c>
      <c r="C29" s="25">
        <v>126</v>
      </c>
      <c r="D29" s="4">
        <f>IF(B29,B29-$C$4," ")</f>
        <v>57</v>
      </c>
      <c r="E29" s="4">
        <f>IF(B29,INT(D29)," ")</f>
        <v>57</v>
      </c>
      <c r="F29" s="4">
        <f>IF(B29,((D29-E29)/60*100)," ")</f>
        <v>0</v>
      </c>
      <c r="G29" s="4">
        <f>IF(B29,C29*COS(PI()/180*(E29+F29))," ")</f>
        <v>68.624518411893419</v>
      </c>
      <c r="H29" s="4">
        <f>IF(B29,(C29*SIN(PI()/180*(E29+F29)))," ")</f>
        <v>105.67249156112344</v>
      </c>
      <c r="I29" s="4"/>
      <c r="J29" s="4"/>
      <c r="K29" s="4">
        <f t="shared" si="0"/>
        <v>-10.556906127996044</v>
      </c>
      <c r="L29" s="4">
        <f t="shared" si="1"/>
        <v>4.3538326729521941</v>
      </c>
      <c r="M29" s="4">
        <f t="shared" si="2"/>
        <v>111.44826699532042</v>
      </c>
      <c r="N29" s="4">
        <f t="shared" si="3"/>
        <v>18.955858944066048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7">
        <v>322.3</v>
      </c>
      <c r="C30" s="25">
        <v>134</v>
      </c>
      <c r="D30" s="4">
        <f>IF(B30,B30-$C$4," ")</f>
        <v>52.300000000000011</v>
      </c>
      <c r="E30" s="4">
        <f>IF(B30,INT(D30)," ")</f>
        <v>52</v>
      </c>
      <c r="F30" s="4">
        <f>IF(B30,((D30-E30)/60*100)," ")</f>
        <v>0.50000000000001887</v>
      </c>
      <c r="G30" s="4">
        <f>IF(B30,C30*COS(PI()/180*(E30+F30))," ")</f>
        <v>81.574031487168526</v>
      </c>
      <c r="H30" s="4">
        <f>IF(B30,(C30*SIN(PI()/180*(E30+F30)))," ")</f>
        <v>106.30934759902554</v>
      </c>
      <c r="I30" s="4"/>
      <c r="J30" s="4"/>
      <c r="K30" s="4">
        <f t="shared" si="0"/>
        <v>2.392606947279063</v>
      </c>
      <c r="L30" s="4">
        <f t="shared" si="1"/>
        <v>4.9906887108543003</v>
      </c>
      <c r="M30" s="4">
        <f t="shared" si="2"/>
        <v>5.7245680041680371</v>
      </c>
      <c r="N30" s="4">
        <f t="shared" si="3"/>
        <v>24.906973808648559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7">
        <v>321.25</v>
      </c>
      <c r="C31" s="25">
        <v>136</v>
      </c>
      <c r="D31" s="4">
        <f>IF(B31,B31-$C$4," ")</f>
        <v>51.25</v>
      </c>
      <c r="E31" s="4">
        <f>IF(B31,INT(D31)," ")</f>
        <v>51</v>
      </c>
      <c r="F31" s="4">
        <f>IF(B31,((D31-E31)/60*100)," ")</f>
        <v>0.41666666666666669</v>
      </c>
      <c r="G31" s="4">
        <f>IF(B31,C31*COS(PI()/180*(E31+F31))," ")</f>
        <v>84.816703990906348</v>
      </c>
      <c r="H31" s="4">
        <f>IF(B31,(C31*SIN(PI()/180*(E31+F31)))," ")</f>
        <v>106.31146092552285</v>
      </c>
      <c r="I31" s="4"/>
      <c r="J31" s="4"/>
      <c r="K31" s="4">
        <f t="shared" si="0"/>
        <v>5.6352794510168849</v>
      </c>
      <c r="L31" s="4">
        <f t="shared" si="1"/>
        <v>4.9928020373516091</v>
      </c>
      <c r="M31" s="4">
        <f t="shared" si="2"/>
        <v>31.756374491053162</v>
      </c>
      <c r="N31" s="4">
        <f t="shared" si="3"/>
        <v>24.92807218418238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7">
        <v>322.35000000000002</v>
      </c>
      <c r="C32" s="25">
        <v>136</v>
      </c>
      <c r="D32" s="4">
        <f>IF(B32,B32-$C$4," ")</f>
        <v>52.350000000000023</v>
      </c>
      <c r="E32" s="4">
        <f>IF(B32,INT(D32)," ")</f>
        <v>52</v>
      </c>
      <c r="F32" s="4">
        <f>IF(B32,((D32-E32)/60*100)," ")</f>
        <v>0.58333333333337123</v>
      </c>
      <c r="G32" s="4">
        <f>IF(B32,C32*COS(PI()/180*(E32+F32))," ")</f>
        <v>82.634538382196382</v>
      </c>
      <c r="H32" s="4">
        <f>IF(B32,(C32*SIN(PI()/180*(E32+F32)))," ")</f>
        <v>108.01635555026523</v>
      </c>
      <c r="I32" s="4"/>
      <c r="J32" s="4"/>
      <c r="K32" s="4">
        <f t="shared" si="0"/>
        <v>3.4531138423069194</v>
      </c>
      <c r="L32" s="4">
        <f t="shared" si="1"/>
        <v>6.6976966620939891</v>
      </c>
      <c r="M32" s="4">
        <f t="shared" si="2"/>
        <v>11.923995207931656</v>
      </c>
      <c r="N32" s="4">
        <f t="shared" si="3"/>
        <v>44.859140577424959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318.45</v>
      </c>
      <c r="C33" s="25">
        <v>144</v>
      </c>
      <c r="D33" s="4">
        <f>IF(B33,B33-$C$4," ")</f>
        <v>48.449999999999989</v>
      </c>
      <c r="E33" s="4">
        <f>IF(B33,INT(D33)," ")</f>
        <v>48</v>
      </c>
      <c r="F33" s="4">
        <f>IF(B33,((D33-E33)/60*100)," ")</f>
        <v>0.74999999999998102</v>
      </c>
      <c r="G33" s="4">
        <f>IF(B33,C33*COS(PI()/180*(E33+F33))," ")</f>
        <v>94.945797374409963</v>
      </c>
      <c r="H33" s="4">
        <f>IF(B33,(C33*SIN(PI()/180*(E33+F33)))," ")</f>
        <v>108.2649322769727</v>
      </c>
      <c r="I33" s="4"/>
      <c r="J33" s="4"/>
      <c r="K33" s="4">
        <f t="shared" si="0"/>
        <v>15.764372834520501</v>
      </c>
      <c r="L33" s="4">
        <f t="shared" si="1"/>
        <v>6.9462733888014583</v>
      </c>
      <c r="M33" s="4">
        <f t="shared" si="2"/>
        <v>248.51545086576792</v>
      </c>
      <c r="N33" s="4">
        <f t="shared" si="3"/>
        <v>48.250713991971296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317.39999999999998</v>
      </c>
      <c r="C34" s="25">
        <v>150</v>
      </c>
      <c r="D34" s="4">
        <f>IF(B34,B34-$C$4," ")</f>
        <v>47.399999999999977</v>
      </c>
      <c r="E34" s="4">
        <f>IF(B34,INT(D34)," ")</f>
        <v>47</v>
      </c>
      <c r="F34" s="4">
        <f>IF(B34,((D34-E34)/60*100)," ")</f>
        <v>0.66666666666662877</v>
      </c>
      <c r="G34" s="4">
        <f>IF(B34,C34*COS(PI()/180*(E34+F34))," ")</f>
        <v>101.01640492783511</v>
      </c>
      <c r="H34" s="4">
        <f>IF(B34,(C34*SIN(PI()/180*(E34+F34)))," ")</f>
        <v>110.88591405338934</v>
      </c>
      <c r="I34" s="4"/>
      <c r="J34" s="4"/>
      <c r="K34" s="4">
        <f>IF(B34,SUM(G34,-$I$12)," ")</f>
        <v>21.834980387945649</v>
      </c>
      <c r="L34" s="4">
        <f t="shared" si="1"/>
        <v>9.5672551652180999</v>
      </c>
      <c r="M34" s="4">
        <f t="shared" si="2"/>
        <v>476.76636854197113</v>
      </c>
      <c r="N34" s="4">
        <f t="shared" si="3"/>
        <v>91.532371396392406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5">
        <v>316.39999999999998</v>
      </c>
      <c r="C35" s="26">
        <v>154</v>
      </c>
      <c r="D35" s="7">
        <f>IF(B35,B35-$C$4," ")</f>
        <v>46.399999999999977</v>
      </c>
      <c r="E35" s="7">
        <f>IF(B35,INT(D35)," ")</f>
        <v>46</v>
      </c>
      <c r="F35" s="7">
        <f>IF(B35,((D35-E35)/60*100)," ")</f>
        <v>0.66666666666662877</v>
      </c>
      <c r="G35" s="7">
        <f>IF(B35,C35*COS(PI()/180*(E35+F35))," ")</f>
        <v>105.68121223178504</v>
      </c>
      <c r="H35" s="7">
        <f>IF(B35,(C35*SIN(PI()/180*(E35+F35)))," ")</f>
        <v>112.01554080224942</v>
      </c>
      <c r="I35" s="7"/>
      <c r="J35" s="7"/>
      <c r="K35" s="7">
        <f t="shared" si="0"/>
        <v>26.499787691895577</v>
      </c>
      <c r="L35" s="7">
        <f t="shared" si="1"/>
        <v>10.696881914078176</v>
      </c>
      <c r="M35" s="7">
        <f t="shared" si="2"/>
        <v>702.23874771554028</v>
      </c>
      <c r="N35" s="7">
        <f>IF(B35,POWER(L35,2)," ")</f>
        <v>114.42328268373278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332.05</v>
      </c>
      <c r="C38" s="25">
        <v>24</v>
      </c>
      <c r="D38" s="4">
        <f>IF(B38,B38-$C$4," ")</f>
        <v>62.050000000000011</v>
      </c>
      <c r="E38" s="4">
        <f>IF(B38,INT(D38)," ")</f>
        <v>62</v>
      </c>
      <c r="F38" s="4">
        <f>IF(B38,((D38-E38)/60*100)," ")</f>
        <v>8.3333333333352286E-2</v>
      </c>
      <c r="G38" s="4">
        <f>IF(B38,C38*COS(PI()/180*(E38+F38))," ")</f>
        <v>11.23648491505924</v>
      </c>
      <c r="H38" s="4">
        <f>IF(B38,(C38*SIN(PI()/180*(E38+F38)))," ")</f>
        <v>21.207107458435868</v>
      </c>
      <c r="I38" s="4">
        <f>SUM(G38:G61)/E6</f>
        <v>56.343637189560305</v>
      </c>
      <c r="J38" s="4">
        <f>SUM(H38:H61)/E6</f>
        <v>48.153307458691394</v>
      </c>
      <c r="K38" s="4">
        <f t="shared" ref="K38:K61" si="4">IF(B38,SUM(G38,-$I$12)," ")</f>
        <v>-67.944939624830226</v>
      </c>
      <c r="L38" s="4">
        <f t="shared" ref="L38:L61" si="5">IF(B38,SUM(H38,-$J$12)," ")</f>
        <v>-80.111551429735371</v>
      </c>
      <c r="M38" s="4">
        <f t="shared" ref="M38:M61" si="6">IF(B38,POWER(K38,2)," ")</f>
        <v>4616.5148206218246</v>
      </c>
      <c r="N38" s="4">
        <f t="shared" ref="N38:N61" si="7">IF(B38,POWER(L38,2)," ")</f>
        <v>6417.8606724791352</v>
      </c>
      <c r="O38" s="4">
        <f>E6-1</f>
        <v>23</v>
      </c>
      <c r="P38" s="4">
        <f>SUM(M38:M61)</f>
        <v>35578.604573465927</v>
      </c>
      <c r="Q38" s="4">
        <f>SUM(N38:N61)</f>
        <v>78547.93909178731</v>
      </c>
      <c r="R38" s="4">
        <f>PRODUCT(P38,1/$O$38)</f>
        <v>1546.8958510202576</v>
      </c>
      <c r="S38" s="4">
        <f>PRODUCT(Q38,1/$O$38)</f>
        <v>3415.127786599448</v>
      </c>
      <c r="T38" s="4">
        <f>SQRT(R38)</f>
        <v>39.330596881057595</v>
      </c>
      <c r="U38" s="4">
        <f>SQRT(S38)</f>
        <v>58.439094676418868</v>
      </c>
      <c r="V38" s="4">
        <f>PRODUCT(T38:U38)</f>
        <v>2298.4444748121896</v>
      </c>
      <c r="W38" s="10">
        <f>SQRT(V38)</f>
        <v>47.942095019014232</v>
      </c>
    </row>
    <row r="39" spans="1:23">
      <c r="A39" s="3">
        <v>2</v>
      </c>
      <c r="B39" s="25">
        <v>286.45</v>
      </c>
      <c r="C39" s="25">
        <v>82</v>
      </c>
      <c r="D39" s="4">
        <f>IF(B39,B39-$C$4," ")</f>
        <v>16.449999999999989</v>
      </c>
      <c r="E39" s="4">
        <f>IF(B39,INT(D39)," ")</f>
        <v>16</v>
      </c>
      <c r="F39" s="4">
        <f>IF(B39,((D39-E39)/60*100)," ")</f>
        <v>0.74999999999998102</v>
      </c>
      <c r="G39" s="4">
        <f>IF(B39,C39*COS(PI()/180*(E39+F39))," ")</f>
        <v>78.520851585994791</v>
      </c>
      <c r="H39" s="4">
        <f>IF(B39,(C39*SIN(PI()/180*(E39+F39)))," ")</f>
        <v>23.632093986995297</v>
      </c>
      <c r="I39" s="4"/>
      <c r="J39" s="4"/>
      <c r="K39" s="4">
        <f t="shared" si="4"/>
        <v>-0.66057295389467185</v>
      </c>
      <c r="L39" s="4">
        <f t="shared" si="5"/>
        <v>-77.686564901175942</v>
      </c>
      <c r="M39" s="4">
        <f t="shared" si="6"/>
        <v>0.43635662741713227</v>
      </c>
      <c r="N39" s="4">
        <f t="shared" si="7"/>
        <v>6035.2023661446219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292.10000000000002</v>
      </c>
      <c r="C40" s="25">
        <v>72</v>
      </c>
      <c r="D40" s="4">
        <f>IF(B40,B40-$C$4," ")</f>
        <v>22.100000000000023</v>
      </c>
      <c r="E40" s="4">
        <f>IF(B40,INT(D40)," ")</f>
        <v>22</v>
      </c>
      <c r="F40" s="4">
        <f>IF(B40,((D40-E40)/60*100)," ")</f>
        <v>0.16666666666670457</v>
      </c>
      <c r="G40" s="4">
        <f>IF(B40,C40*COS(PI()/180*(E40+F40))," ")</f>
        <v>66.678497781842708</v>
      </c>
      <c r="H40" s="4">
        <f>IF(B40,(C40*SIN(PI()/180*(E40+F40)))," ")</f>
        <v>27.165749272876624</v>
      </c>
      <c r="I40" s="4"/>
      <c r="J40" s="4"/>
      <c r="K40" s="4">
        <f t="shared" si="4"/>
        <v>-12.502926758046755</v>
      </c>
      <c r="L40" s="4">
        <f t="shared" si="5"/>
        <v>-74.152909615294618</v>
      </c>
      <c r="M40" s="4">
        <f t="shared" si="6"/>
        <v>156.32317751708152</v>
      </c>
      <c r="N40" s="4">
        <f t="shared" si="7"/>
        <v>5498.6540044140529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296.05</v>
      </c>
      <c r="C41" s="25">
        <v>76</v>
      </c>
      <c r="D41" s="4">
        <f>IF(B41,B41-$C$4," ")</f>
        <v>26.050000000000011</v>
      </c>
      <c r="E41" s="4">
        <f>IF(B41,INT(D41)," ")</f>
        <v>26</v>
      </c>
      <c r="F41" s="4">
        <f>IF(B41,((D41-E41)/60*100)," ")</f>
        <v>8.3333333333352286E-2</v>
      </c>
      <c r="G41" s="4">
        <f>IF(B41,C41*COS(PI()/180*(E41+F41))," ")</f>
        <v>68.259818827041428</v>
      </c>
      <c r="H41" s="4">
        <f>IF(B41,(C41*SIN(PI()/180*(E41+F41)))," ")</f>
        <v>33.415522346650228</v>
      </c>
      <c r="I41" s="4"/>
      <c r="J41" s="4"/>
      <c r="K41" s="4">
        <f t="shared" si="4"/>
        <v>-10.921605712848034</v>
      </c>
      <c r="L41" s="4">
        <f t="shared" si="5"/>
        <v>-67.903136541521008</v>
      </c>
      <c r="M41" s="4">
        <f t="shared" si="6"/>
        <v>119.28147134691483</v>
      </c>
      <c r="N41" s="4">
        <f t="shared" si="7"/>
        <v>4610.835952176446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303</v>
      </c>
      <c r="C42" s="25">
        <v>64</v>
      </c>
      <c r="D42" s="4">
        <f>IF(B42,B42-$C$4," ")</f>
        <v>33</v>
      </c>
      <c r="E42" s="4">
        <f>IF(B42,INT(D42)," ")</f>
        <v>33</v>
      </c>
      <c r="F42" s="4">
        <f>IF(B42,((D42-E42)/60*100)," ")</f>
        <v>0</v>
      </c>
      <c r="G42" s="4">
        <f>IF(B42,C42*COS(PI()/180*(E42+F42))," ")</f>
        <v>53.674916348507139</v>
      </c>
      <c r="H42" s="4">
        <f>IF(B42,(C42*SIN(PI()/180*(E42+F42)))," ")</f>
        <v>34.856898240961733</v>
      </c>
      <c r="I42" s="4"/>
      <c r="J42" s="4"/>
      <c r="K42" s="4">
        <f t="shared" si="4"/>
        <v>-25.506508191382324</v>
      </c>
      <c r="L42" s="4">
        <f t="shared" si="5"/>
        <v>-66.461760647209502</v>
      </c>
      <c r="M42" s="4">
        <f t="shared" si="6"/>
        <v>650.58196011705354</v>
      </c>
      <c r="N42" s="4">
        <f t="shared" si="7"/>
        <v>4417.1656283269658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357.4</v>
      </c>
      <c r="C43" s="25">
        <v>36</v>
      </c>
      <c r="D43" s="4">
        <f>IF(B43,B43-$C$4," ")</f>
        <v>87.399999999999977</v>
      </c>
      <c r="E43" s="4">
        <f>IF(B43,INT(D43)," ")</f>
        <v>87</v>
      </c>
      <c r="F43" s="4">
        <f>IF(B43,((D43-E43)/60*100)," ")</f>
        <v>0.66666666666662877</v>
      </c>
      <c r="G43" s="4">
        <f>IF(B43,C43*COS(PI()/180*(E43+F43))," ")</f>
        <v>1.4656713639694754</v>
      </c>
      <c r="H43" s="4">
        <f>IF(B43,(C43*SIN(PI()/180*(E43+F43)))," ")</f>
        <v>35.970151618429966</v>
      </c>
      <c r="I43" s="4"/>
      <c r="J43" s="4"/>
      <c r="K43" s="4">
        <f t="shared" si="4"/>
        <v>-77.715753175919986</v>
      </c>
      <c r="L43" s="4">
        <f t="shared" si="5"/>
        <v>-65.348507269741276</v>
      </c>
      <c r="M43" s="4">
        <f t="shared" si="6"/>
        <v>6039.738291700517</v>
      </c>
      <c r="N43" s="4">
        <f t="shared" si="7"/>
        <v>4270.4274023834287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317.39999999999998</v>
      </c>
      <c r="C44" s="25">
        <v>50</v>
      </c>
      <c r="D44" s="4">
        <f>IF(B44,B44-$C$4," ")</f>
        <v>47.399999999999977</v>
      </c>
      <c r="E44" s="4">
        <f>IF(B44,INT(D44)," ")</f>
        <v>47</v>
      </c>
      <c r="F44" s="4">
        <f>IF(B44,((D44-E44)/60*100)," ")</f>
        <v>0.66666666666662877</v>
      </c>
      <c r="G44" s="4">
        <f>IF(B44,C44*COS(PI()/180*(E44+F44))," ")</f>
        <v>33.672134975945042</v>
      </c>
      <c r="H44" s="4">
        <f>IF(B44,(C44*SIN(PI()/180*(E44+F44)))," ")</f>
        <v>36.961971351129783</v>
      </c>
      <c r="I44" s="4"/>
      <c r="J44" s="4"/>
      <c r="K44" s="4">
        <f t="shared" si="4"/>
        <v>-45.509289563944421</v>
      </c>
      <c r="L44" s="4">
        <f t="shared" si="5"/>
        <v>-64.356687537041466</v>
      </c>
      <c r="M44" s="4">
        <f t="shared" si="6"/>
        <v>2071.0954366149404</v>
      </c>
      <c r="N44" s="4">
        <f t="shared" si="7"/>
        <v>4141.7832307403887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>
        <v>304.05</v>
      </c>
      <c r="C45" s="25">
        <v>68</v>
      </c>
      <c r="D45" s="4">
        <f>IF(B45,B45-$C$4," ")</f>
        <v>34.050000000000011</v>
      </c>
      <c r="E45" s="4">
        <f>IF(B45,INT(D45)," ")</f>
        <v>34</v>
      </c>
      <c r="F45" s="4">
        <f>IF(B45,((D45-E45)/60*100)," ")</f>
        <v>8.3333333333352286E-2</v>
      </c>
      <c r="G45" s="4">
        <f>IF(B45,C45*COS(PI()/180*(E45+F45))," ")</f>
        <v>56.319190034444325</v>
      </c>
      <c r="H45" s="4">
        <f>IF(B45,(C45*SIN(PI()/180*(E45+F45)))," ")</f>
        <v>38.10707065446185</v>
      </c>
      <c r="I45" s="4"/>
      <c r="J45" s="4"/>
      <c r="K45" s="4">
        <f t="shared" si="4"/>
        <v>-22.862234505445137</v>
      </c>
      <c r="L45" s="4">
        <f t="shared" si="5"/>
        <v>-63.211588233709392</v>
      </c>
      <c r="M45" s="4">
        <f t="shared" si="6"/>
        <v>522.68176658196626</v>
      </c>
      <c r="N45" s="4">
        <f t="shared" si="7"/>
        <v>3995.7048870280278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305.14999999999998</v>
      </c>
      <c r="C46" s="25">
        <v>68</v>
      </c>
      <c r="D46" s="4">
        <f>IF(B46,B46-$C$4," ")</f>
        <v>35.149999999999977</v>
      </c>
      <c r="E46" s="4">
        <f>IF(B46,INT(D46)," ")</f>
        <v>35</v>
      </c>
      <c r="F46" s="4">
        <f>IF(B46,((D46-E46)/60*100)," ")</f>
        <v>0.24999999999996211</v>
      </c>
      <c r="G46" s="4">
        <f>IF(B46,C46*COS(PI()/180*(E46+F46))," ")</f>
        <v>55.531625750994188</v>
      </c>
      <c r="H46" s="4">
        <f>IF(B46,(C46*SIN(PI()/180*(E46+F46)))," ")</f>
        <v>39.245872922531852</v>
      </c>
      <c r="I46" s="4"/>
      <c r="J46" s="4"/>
      <c r="K46" s="4">
        <f t="shared" si="4"/>
        <v>-23.649798788895275</v>
      </c>
      <c r="L46" s="4">
        <f t="shared" si="5"/>
        <v>-62.07278596563939</v>
      </c>
      <c r="M46" s="4">
        <f t="shared" si="6"/>
        <v>559.31298275523238</v>
      </c>
      <c r="N46" s="4">
        <f t="shared" si="7"/>
        <v>3853.0307575360785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308</v>
      </c>
      <c r="C47" s="25">
        <v>64</v>
      </c>
      <c r="D47" s="4">
        <f>IF(B47,B47-$C$4," ")</f>
        <v>38</v>
      </c>
      <c r="E47" s="4">
        <f>IF(B47,INT(D47)," ")</f>
        <v>38</v>
      </c>
      <c r="F47" s="4">
        <f>IF(B47,((D47-E47)/60*100)," ")</f>
        <v>0</v>
      </c>
      <c r="G47" s="4">
        <f>IF(B47,C47*COS(PI()/180*(E47+F47))," ")</f>
        <v>50.432688230830202</v>
      </c>
      <c r="H47" s="4">
        <f>IF(B47,(C47*SIN(PI()/180*(E47+F47)))," ")</f>
        <v>39.402334420842131</v>
      </c>
      <c r="I47" s="4"/>
      <c r="J47" s="4"/>
      <c r="K47" s="4">
        <f t="shared" si="4"/>
        <v>-28.748736309059261</v>
      </c>
      <c r="L47" s="4">
        <f t="shared" si="5"/>
        <v>-61.916324467329112</v>
      </c>
      <c r="M47" s="4">
        <f t="shared" si="6"/>
        <v>826.48983936782224</v>
      </c>
      <c r="N47" s="4">
        <f t="shared" si="7"/>
        <v>3833.6312355435775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298.35000000000002</v>
      </c>
      <c r="C48" s="25">
        <v>86</v>
      </c>
      <c r="D48" s="4">
        <f>IF(B48,B48-$C$4," ")</f>
        <v>28.350000000000023</v>
      </c>
      <c r="E48" s="4">
        <f>IF(B48,INT(D48)," ")</f>
        <v>28</v>
      </c>
      <c r="F48" s="4">
        <f>IF(B48,((D48-E48)/60*100)," ")</f>
        <v>0.58333333333337123</v>
      </c>
      <c r="G48" s="4">
        <f>IF(B48,C48*COS(PI()/180*(E48+F48))," ")</f>
        <v>75.518507832375903</v>
      </c>
      <c r="H48" s="4">
        <f>IF(B48,(C48*SIN(PI()/180*(E48+F48)))," ")</f>
        <v>41.145534080521784</v>
      </c>
      <c r="I48" s="4"/>
      <c r="J48" s="4"/>
      <c r="K48" s="4">
        <f t="shared" si="4"/>
        <v>-3.6629167075135598</v>
      </c>
      <c r="L48" s="4">
        <f t="shared" si="5"/>
        <v>-60.173124807649458</v>
      </c>
      <c r="M48" s="4">
        <f t="shared" si="6"/>
        <v>13.416958806181977</v>
      </c>
      <c r="N48" s="4">
        <f t="shared" si="7"/>
        <v>3620.8049491169586</v>
      </c>
      <c r="O48" s="4"/>
      <c r="P48" s="4"/>
      <c r="Q48" s="4"/>
      <c r="R48" s="4"/>
      <c r="S48" s="4"/>
      <c r="T48" s="4"/>
      <c r="U48" s="4"/>
      <c r="V48" s="4"/>
      <c r="W48" s="5"/>
    </row>
    <row r="49" spans="1:27">
      <c r="A49" s="3">
        <v>12</v>
      </c>
      <c r="B49" s="25">
        <v>355</v>
      </c>
      <c r="C49" s="25">
        <v>42</v>
      </c>
      <c r="D49" s="4">
        <f>IF(B49,B49-$C$4," ")</f>
        <v>85</v>
      </c>
      <c r="E49" s="4">
        <f>IF(B49,INT(D49)," ")</f>
        <v>85</v>
      </c>
      <c r="F49" s="4">
        <f>IF(B49,((D49-E49)/60*100)," ")</f>
        <v>0</v>
      </c>
      <c r="G49" s="4">
        <f>IF(B49,C49*COS(PI()/180*(E49+F49))," ")</f>
        <v>3.6605411954016418</v>
      </c>
      <c r="H49" s="4">
        <f>IF(B49,(C49*SIN(PI()/180*(E49+F49)))," ")</f>
        <v>41.840177319853311</v>
      </c>
      <c r="I49" s="4"/>
      <c r="J49" s="4"/>
      <c r="K49" s="4">
        <f t="shared" si="4"/>
        <v>-75.520883344487828</v>
      </c>
      <c r="L49" s="4">
        <f t="shared" si="5"/>
        <v>-59.478481568317932</v>
      </c>
      <c r="M49" s="4">
        <f t="shared" si="6"/>
        <v>5703.4038211317393</v>
      </c>
      <c r="N49" s="4">
        <f t="shared" si="7"/>
        <v>3537.689769672736</v>
      </c>
      <c r="O49" s="4"/>
      <c r="P49" s="4"/>
      <c r="Q49" s="4"/>
      <c r="R49" s="4"/>
      <c r="S49" s="4"/>
      <c r="T49" s="4"/>
      <c r="U49" s="4"/>
      <c r="V49" s="4"/>
      <c r="W49" s="5"/>
    </row>
    <row r="50" spans="1:27">
      <c r="A50" s="3">
        <v>13</v>
      </c>
      <c r="B50" s="25">
        <v>297.35000000000002</v>
      </c>
      <c r="C50" s="25">
        <v>92</v>
      </c>
      <c r="D50" s="4">
        <f>IF(B50,B50-$C$4," ")</f>
        <v>27.350000000000023</v>
      </c>
      <c r="E50" s="4">
        <f>IF(B50,INT(D50)," ")</f>
        <v>27</v>
      </c>
      <c r="F50" s="4">
        <f>IF(B50,((D50-E50)/60*100)," ")</f>
        <v>0.58333333333337123</v>
      </c>
      <c r="G50" s="4">
        <f>IF(B50,C50*COS(PI()/180*(E50+F50))," ")</f>
        <v>81.543124436240731</v>
      </c>
      <c r="H50" s="4">
        <f>IF(B50,(C50*SIN(PI()/180*(E50+F50)))," ")</f>
        <v>42.599517100264876</v>
      </c>
      <c r="I50" s="4"/>
      <c r="J50" s="4"/>
      <c r="K50" s="4">
        <f t="shared" si="4"/>
        <v>2.3616998963512685</v>
      </c>
      <c r="L50" s="4">
        <f t="shared" si="5"/>
        <v>-58.719141787906366</v>
      </c>
      <c r="M50" s="4">
        <f t="shared" si="6"/>
        <v>5.5776264004255927</v>
      </c>
      <c r="N50" s="4">
        <f t="shared" si="7"/>
        <v>3447.9376123082516</v>
      </c>
      <c r="O50" s="4"/>
      <c r="P50" s="4"/>
      <c r="Q50" s="4"/>
      <c r="R50" s="4"/>
      <c r="S50" s="4"/>
      <c r="T50" s="4"/>
      <c r="U50" s="4"/>
      <c r="V50" s="4"/>
      <c r="W50" s="5"/>
    </row>
    <row r="51" spans="1:27">
      <c r="A51" s="3">
        <v>14</v>
      </c>
      <c r="B51" s="25">
        <v>295.5</v>
      </c>
      <c r="C51" s="25">
        <v>98</v>
      </c>
      <c r="D51" s="4">
        <f>IF(B51,B51-$C$4," ")</f>
        <v>25.5</v>
      </c>
      <c r="E51" s="4">
        <f>IF(B51,INT(D51)," ")</f>
        <v>25</v>
      </c>
      <c r="F51" s="4">
        <f>IF(B51,((D51-E51)/60*100)," ")</f>
        <v>0.83333333333333337</v>
      </c>
      <c r="G51" s="4">
        <f>IF(B51,C51*COS(PI()/180*(E51+F51))," ")</f>
        <v>88.206410362683869</v>
      </c>
      <c r="H51" s="4">
        <f>IF(B51,(C51*SIN(PI()/180*(E51+F51)))," ")</f>
        <v>42.703971371873777</v>
      </c>
      <c r="I51" s="4"/>
      <c r="J51" s="4"/>
      <c r="K51" s="4">
        <f t="shared" si="4"/>
        <v>9.024985822794406</v>
      </c>
      <c r="L51" s="4">
        <f t="shared" si="5"/>
        <v>-58.614687516297465</v>
      </c>
      <c r="M51" s="4">
        <f t="shared" si="6"/>
        <v>81.450369101640021</v>
      </c>
      <c r="N51" s="4">
        <f t="shared" si="7"/>
        <v>3435.6815926331979</v>
      </c>
      <c r="O51" s="4"/>
      <c r="P51" s="4"/>
      <c r="Q51" s="4"/>
      <c r="R51" s="4"/>
      <c r="S51" s="4"/>
      <c r="T51" s="4"/>
      <c r="U51" s="4"/>
      <c r="V51" s="4"/>
      <c r="W51" s="5"/>
    </row>
    <row r="52" spans="1:27">
      <c r="A52" s="3">
        <v>15</v>
      </c>
      <c r="B52" s="25">
        <v>329.4</v>
      </c>
      <c r="C52" s="25">
        <v>52</v>
      </c>
      <c r="D52" s="4">
        <f>IF(B52,B52-$C$4," ")</f>
        <v>59.399999999999977</v>
      </c>
      <c r="E52" s="4">
        <f>IF(B52,INT(D52)," ")</f>
        <v>59</v>
      </c>
      <c r="F52" s="4">
        <f>IF(B52,((D52-E52)/60*100)," ")</f>
        <v>0.66666666666662877</v>
      </c>
      <c r="G52" s="4">
        <f>IF(B52,C52*COS(PI()/180*(E52+F52))," ")</f>
        <v>26.261551761883915</v>
      </c>
      <c r="H52" s="4">
        <f>IF(B52,(C52*SIN(PI()/180*(E52+F52)))," ")</f>
        <v>44.881297876263467</v>
      </c>
      <c r="I52" s="4"/>
      <c r="J52" s="4"/>
      <c r="K52" s="4">
        <f t="shared" si="4"/>
        <v>-52.919872778005548</v>
      </c>
      <c r="L52" s="4">
        <f t="shared" si="5"/>
        <v>-56.437361011907775</v>
      </c>
      <c r="M52" s="4">
        <f t="shared" si="6"/>
        <v>2800.5129348402925</v>
      </c>
      <c r="N52" s="4">
        <f t="shared" si="7"/>
        <v>3185.175717988408</v>
      </c>
      <c r="O52" s="4"/>
      <c r="P52" s="4"/>
      <c r="Q52" s="4"/>
      <c r="R52" s="4"/>
      <c r="S52" s="4"/>
      <c r="T52" s="4"/>
      <c r="U52" s="4"/>
      <c r="V52" s="4"/>
      <c r="W52" s="5"/>
    </row>
    <row r="53" spans="1:27">
      <c r="A53" s="3">
        <v>16</v>
      </c>
      <c r="B53" s="25">
        <v>296</v>
      </c>
      <c r="C53" s="25">
        <v>106</v>
      </c>
      <c r="D53" s="4">
        <f>IF(B53,B53-$C$4," ")</f>
        <v>26</v>
      </c>
      <c r="E53" s="4">
        <f>IF(B53,INT(D53)," ")</f>
        <v>26</v>
      </c>
      <c r="F53" s="4">
        <f>IF(B53,((D53-E53)/60*100)," ")</f>
        <v>0</v>
      </c>
      <c r="G53" s="4">
        <f>IF(B53,C53*COS(PI()/180*(E53+F53))," ")</f>
        <v>95.272168907711702</v>
      </c>
      <c r="H53" s="4">
        <f>IF(B53,(C53*SIN(PI()/180*(E53+F53)))," ")</f>
        <v>46.467341559642207</v>
      </c>
      <c r="I53" s="4"/>
      <c r="J53" s="4"/>
      <c r="K53" s="4">
        <f t="shared" si="4"/>
        <v>16.090744367822239</v>
      </c>
      <c r="L53" s="4">
        <f t="shared" si="5"/>
        <v>-54.851317328529035</v>
      </c>
      <c r="M53" s="4">
        <f t="shared" si="6"/>
        <v>258.91205431060314</v>
      </c>
      <c r="N53" s="4">
        <f t="shared" si="7"/>
        <v>3008.6670126749896</v>
      </c>
      <c r="O53" s="4"/>
      <c r="P53" s="4"/>
      <c r="Q53" s="4"/>
      <c r="R53" s="4"/>
      <c r="S53" s="4"/>
      <c r="T53" s="4"/>
      <c r="U53" s="4"/>
      <c r="V53" s="4"/>
      <c r="W53" s="5"/>
      <c r="Z53" s="25"/>
      <c r="AA53" s="25"/>
    </row>
    <row r="54" spans="1:27">
      <c r="A54" s="3">
        <v>17</v>
      </c>
      <c r="B54" s="25">
        <v>311.25</v>
      </c>
      <c r="C54" s="25">
        <v>72</v>
      </c>
      <c r="D54" s="4">
        <f>IF(B54,B54-$C$4," ")</f>
        <v>41.25</v>
      </c>
      <c r="E54" s="4">
        <f>IF(B54,INT(D54)," ")</f>
        <v>41</v>
      </c>
      <c r="F54" s="4">
        <f>IF(B54,((D54-E54)/60*100)," ")</f>
        <v>0.41666666666666669</v>
      </c>
      <c r="G54" s="4">
        <f>IF(B54,C54*COS(PI()/180*(E54+F54))," ")</f>
        <v>53.994144245300568</v>
      </c>
      <c r="H54" s="4">
        <f>IF(B54,(C54*SIN(PI()/180*(E54+F54)))," ")</f>
        <v>47.63016257811509</v>
      </c>
      <c r="I54" s="4"/>
      <c r="J54" s="4"/>
      <c r="K54" s="4">
        <f t="shared" si="4"/>
        <v>-25.187280294588895</v>
      </c>
      <c r="L54" s="4">
        <f t="shared" si="5"/>
        <v>-53.688496310056152</v>
      </c>
      <c r="M54" s="4">
        <f t="shared" si="6"/>
        <v>634.39908863818607</v>
      </c>
      <c r="N54" s="4">
        <f t="shared" si="7"/>
        <v>2882.4546360349132</v>
      </c>
      <c r="O54" s="4"/>
      <c r="P54" s="4"/>
      <c r="Q54" s="4"/>
      <c r="R54" s="4"/>
      <c r="S54" s="4"/>
      <c r="T54" s="4"/>
      <c r="U54" s="4"/>
      <c r="V54" s="4"/>
      <c r="W54" s="5"/>
      <c r="Z54" s="25"/>
      <c r="AA54" s="25"/>
    </row>
    <row r="55" spans="1:27">
      <c r="A55" s="3">
        <v>18</v>
      </c>
      <c r="B55" s="25">
        <v>302.30500000000001</v>
      </c>
      <c r="C55" s="25">
        <v>90</v>
      </c>
      <c r="D55" s="4">
        <f>IF(B55,B55-$C$4," ")</f>
        <v>32.305000000000007</v>
      </c>
      <c r="E55" s="4">
        <f>IF(B55,INT(D55)," ")</f>
        <v>32</v>
      </c>
      <c r="F55" s="4">
        <f>IF(B55,((D55-E55)/60*100)," ")</f>
        <v>0.50833333333334474</v>
      </c>
      <c r="G55" s="4">
        <f>IF(B55,C55*COS(PI()/180*(E55+F55))," ")</f>
        <v>75.898196084908861</v>
      </c>
      <c r="H55" s="4">
        <f>IF(B55,(C55*SIN(PI()/180*(E55+F55)))," ")</f>
        <v>48.368004207913373</v>
      </c>
      <c r="I55" s="4"/>
      <c r="J55" s="4"/>
      <c r="K55" s="4">
        <f t="shared" si="4"/>
        <v>-3.2832284549806019</v>
      </c>
      <c r="L55" s="4">
        <f t="shared" si="5"/>
        <v>-52.95065468025787</v>
      </c>
      <c r="M55" s="4">
        <f t="shared" si="6"/>
        <v>10.77958908759431</v>
      </c>
      <c r="N55" s="4">
        <f t="shared" si="7"/>
        <v>2803.7718310679147</v>
      </c>
      <c r="O55" s="4"/>
      <c r="P55" s="4"/>
      <c r="Q55" s="4"/>
      <c r="R55" s="4"/>
      <c r="S55" s="4"/>
      <c r="T55" s="4"/>
      <c r="U55" s="4"/>
      <c r="V55" s="4"/>
      <c r="W55" s="5"/>
      <c r="Z55" s="25"/>
      <c r="AA55" s="25"/>
    </row>
    <row r="56" spans="1:27" ht="15.75" thickBot="1">
      <c r="A56" s="3">
        <v>19</v>
      </c>
      <c r="B56" s="25">
        <v>319.3</v>
      </c>
      <c r="C56" s="25">
        <v>66</v>
      </c>
      <c r="D56" s="4">
        <f>IF(B56,B56-$C$4," ")</f>
        <v>49.300000000000011</v>
      </c>
      <c r="E56" s="4">
        <f>IF(B56,INT(D56)," ")</f>
        <v>49</v>
      </c>
      <c r="F56" s="4">
        <f>IF(B56,((D56-E56)/60*100)," ")</f>
        <v>0.50000000000001887</v>
      </c>
      <c r="G56" s="4">
        <f>IF(B56,C56*COS(PI()/180*(E56+F56))," ")</f>
        <v>42.863571189792097</v>
      </c>
      <c r="H56" s="4">
        <f>IF(B56,(C56*SIN(PI()/180*(E56+F56)))," ")</f>
        <v>50.186793729602059</v>
      </c>
      <c r="I56" s="4"/>
      <c r="J56" s="4"/>
      <c r="K56" s="4">
        <f t="shared" si="4"/>
        <v>-36.317853350097366</v>
      </c>
      <c r="L56" s="4">
        <f t="shared" si="5"/>
        <v>-51.131865158569184</v>
      </c>
      <c r="M56" s="4">
        <f t="shared" si="6"/>
        <v>1318.9864719591785</v>
      </c>
      <c r="N56" s="4">
        <f t="shared" si="7"/>
        <v>2614.4676345941011</v>
      </c>
      <c r="O56" s="4"/>
      <c r="P56" s="4"/>
      <c r="Q56" s="4"/>
      <c r="R56" s="4"/>
      <c r="S56" s="4"/>
      <c r="T56" s="4"/>
      <c r="U56" s="4"/>
      <c r="V56" s="4"/>
      <c r="W56" s="5"/>
      <c r="Z56" s="25"/>
      <c r="AA56" s="26"/>
    </row>
    <row r="57" spans="1:27">
      <c r="A57" s="3">
        <v>20</v>
      </c>
      <c r="B57" s="25">
        <v>305.5</v>
      </c>
      <c r="C57" s="25">
        <v>88</v>
      </c>
      <c r="D57" s="4">
        <f>IF(B57,B57-$C$4," ")</f>
        <v>35.5</v>
      </c>
      <c r="E57" s="4">
        <f>IF(B57,INT(D57)," ")</f>
        <v>35</v>
      </c>
      <c r="F57" s="4">
        <f>IF(B57,((D57-E57)/60*100)," ")</f>
        <v>0.83333333333333337</v>
      </c>
      <c r="G57" s="4">
        <f>IF(B57,C57*COS(PI()/180*(E57+F57))," ")</f>
        <v>71.343656310978687</v>
      </c>
      <c r="H57" s="4">
        <f>IF(B57,(C57*SIN(PI()/180*(E57+F57)))," ")</f>
        <v>51.517790171754761</v>
      </c>
      <c r="I57" s="4"/>
      <c r="J57" s="4"/>
      <c r="K57" s="4">
        <f t="shared" si="4"/>
        <v>-7.8377682289107753</v>
      </c>
      <c r="L57" s="4">
        <f t="shared" si="5"/>
        <v>-49.800868716416481</v>
      </c>
      <c r="M57" s="4">
        <f t="shared" si="6"/>
        <v>61.430610810123149</v>
      </c>
      <c r="N57" s="4">
        <f t="shared" si="7"/>
        <v>2480.1265249097496</v>
      </c>
      <c r="O57" s="4"/>
      <c r="P57" s="4"/>
      <c r="Q57" s="4"/>
      <c r="R57" s="4"/>
      <c r="S57" s="4"/>
      <c r="T57" s="4"/>
      <c r="U57" s="4"/>
      <c r="V57" s="4"/>
      <c r="W57" s="5"/>
    </row>
    <row r="58" spans="1:27">
      <c r="A58" s="3">
        <v>21</v>
      </c>
      <c r="B58" s="25">
        <v>300.55</v>
      </c>
      <c r="C58" s="25">
        <v>168</v>
      </c>
      <c r="D58" s="4">
        <f>IF(B58,B58-$C$4," ")</f>
        <v>30.550000000000011</v>
      </c>
      <c r="E58" s="4">
        <f>IF(B58,INT(D58)," ")</f>
        <v>30</v>
      </c>
      <c r="F58" s="4">
        <f>IF(B58,((D58-E58)/60*100)," ")</f>
        <v>0.91666666666668561</v>
      </c>
      <c r="G58" s="4">
        <f>IF(B58,C58*COS(PI()/180*(E58+F58))," ")</f>
        <v>144.1298017030831</v>
      </c>
      <c r="H58" s="123">
        <f>IF(B58,(C58*SIN(PI()/180*(E58+F58)))," ")</f>
        <v>86.316859656905621</v>
      </c>
      <c r="I58" s="4"/>
      <c r="J58" s="4"/>
      <c r="K58" s="4">
        <f t="shared" si="4"/>
        <v>64.948377163193641</v>
      </c>
      <c r="L58" s="4">
        <f t="shared" si="5"/>
        <v>-15.001799231265622</v>
      </c>
      <c r="M58" s="4">
        <f t="shared" si="6"/>
        <v>4218.2916961324536</v>
      </c>
      <c r="N58" s="4">
        <f t="shared" si="7"/>
        <v>225.05398017520181</v>
      </c>
      <c r="O58" s="4"/>
      <c r="P58" s="4"/>
      <c r="Q58" s="4"/>
      <c r="R58" s="4"/>
      <c r="S58" s="4"/>
      <c r="T58" s="4"/>
      <c r="U58" s="4"/>
      <c r="V58" s="4"/>
      <c r="W58" s="5"/>
    </row>
    <row r="59" spans="1:27">
      <c r="A59" s="3">
        <v>22</v>
      </c>
      <c r="B59" s="25">
        <v>341.2</v>
      </c>
      <c r="C59" s="25">
        <v>94</v>
      </c>
      <c r="D59" s="4">
        <f>IF(B59,B59-$C$4," ")</f>
        <v>71.199999999999989</v>
      </c>
      <c r="E59" s="4">
        <f>IF(B59,INT(D59)," ")</f>
        <v>71</v>
      </c>
      <c r="F59" s="4">
        <f>IF(B59,((D59-E59)/60*100)," ")</f>
        <v>0.33333333333331439</v>
      </c>
      <c r="G59" s="4">
        <f>IF(B59,C59*COS(PI()/180*(E59+F59))," ")</f>
        <v>30.08581594515536</v>
      </c>
      <c r="H59" s="123">
        <f>IF(B59,(C59*SIN(PI()/180*(E59+F59)))," ")</f>
        <v>89.055284396346948</v>
      </c>
      <c r="I59" s="4"/>
      <c r="J59" s="4"/>
      <c r="K59" s="4">
        <f t="shared" si="4"/>
        <v>-49.095608594734102</v>
      </c>
      <c r="L59" s="4">
        <f t="shared" si="5"/>
        <v>-12.263374491824294</v>
      </c>
      <c r="M59" s="4">
        <f t="shared" si="6"/>
        <v>2410.378783287329</v>
      </c>
      <c r="N59" s="4">
        <f t="shared" si="7"/>
        <v>150.39035392672676</v>
      </c>
      <c r="O59" s="4"/>
      <c r="P59" s="4"/>
      <c r="Q59" s="4"/>
      <c r="R59" s="4"/>
      <c r="S59" s="4"/>
      <c r="T59" s="4"/>
      <c r="U59" s="4"/>
      <c r="V59" s="4"/>
      <c r="W59" s="5"/>
    </row>
    <row r="60" spans="1:27">
      <c r="A60" s="3">
        <v>23</v>
      </c>
      <c r="B60" s="25">
        <v>334.5</v>
      </c>
      <c r="C60" s="25">
        <v>102</v>
      </c>
      <c r="D60" s="4">
        <f>IF(B60,B60-$C$4," ")</f>
        <v>64.5</v>
      </c>
      <c r="E60" s="4">
        <f>IF(B60,INT(D60)," ")</f>
        <v>64</v>
      </c>
      <c r="F60" s="4">
        <f>IF(B60,((D60-E60)/60*100)," ")</f>
        <v>0.83333333333333337</v>
      </c>
      <c r="G60" s="4">
        <f>IF(B60,C60*COS(PI()/180*(E60+F60))," ")</f>
        <v>43.375786874841197</v>
      </c>
      <c r="H60" s="123">
        <f>IF(B60,(C60*SIN(PI()/180*(E60+F60)))," ")</f>
        <v>92.317609983081525</v>
      </c>
      <c r="I60" s="4"/>
      <c r="J60" s="4"/>
      <c r="K60" s="4">
        <f t="shared" si="4"/>
        <v>-35.805637665048266</v>
      </c>
      <c r="L60" s="4">
        <f t="shared" si="5"/>
        <v>-9.0010489050897178</v>
      </c>
      <c r="M60" s="4">
        <f t="shared" si="6"/>
        <v>1282.043688600723</v>
      </c>
      <c r="N60" s="4">
        <f t="shared" si="7"/>
        <v>81.018881391816805</v>
      </c>
      <c r="O60" s="4"/>
      <c r="P60" s="4"/>
      <c r="Q60" s="4"/>
      <c r="R60" s="4"/>
      <c r="S60" s="4"/>
      <c r="T60" s="4"/>
      <c r="U60" s="4"/>
      <c r="V60" s="4"/>
      <c r="W60" s="5"/>
    </row>
    <row r="61" spans="1:27" ht="15.75" thickBot="1">
      <c r="A61" s="6">
        <v>24</v>
      </c>
      <c r="B61" s="25">
        <v>336.15</v>
      </c>
      <c r="C61" s="26">
        <v>110</v>
      </c>
      <c r="D61" s="7">
        <f>IF(B61,B61-$C$4," ")</f>
        <v>66.149999999999977</v>
      </c>
      <c r="E61" s="7">
        <f>IF(B61,INT(D61)," ")</f>
        <v>66</v>
      </c>
      <c r="F61" s="7">
        <f>IF(B61,((D61-E61)/60*100)," ")</f>
        <v>0.24999999999996211</v>
      </c>
      <c r="G61" s="7">
        <f>IF(B61,C61*COS(PI()/180*(E61+F61))," ")</f>
        <v>44.302135884461165</v>
      </c>
      <c r="H61" s="124">
        <f>IF(B61,(C61*SIN(PI()/180*(E61+F61)))," ")</f>
        <v>100.68426270313915</v>
      </c>
      <c r="I61" s="7"/>
      <c r="J61" s="7"/>
      <c r="K61" s="7">
        <f t="shared" si="4"/>
        <v>-34.879288655428297</v>
      </c>
      <c r="L61" s="7">
        <f t="shared" si="5"/>
        <v>-0.63439618503208806</v>
      </c>
      <c r="M61" s="7">
        <f t="shared" si="6"/>
        <v>1216.5647771086892</v>
      </c>
      <c r="N61" s="7">
        <f t="shared" si="7"/>
        <v>0.40245851958326728</v>
      </c>
      <c r="O61" s="7"/>
      <c r="P61" s="7"/>
      <c r="Q61" s="7"/>
      <c r="R61" s="7"/>
      <c r="S61" s="7"/>
      <c r="T61" s="7"/>
      <c r="U61" s="7"/>
      <c r="V61" s="7"/>
      <c r="W61" s="8"/>
    </row>
    <row r="62" spans="1:2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sortState ref="B38:H61">
    <sortCondition ref="H38:H61"/>
  </sortState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/>
  </sheetPr>
  <dimension ref="A1:W62"/>
  <sheetViews>
    <sheetView zoomScale="70" zoomScaleNormal="70" workbookViewId="0">
      <selection activeCell="I38" sqref="I38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65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15"/>
      <c r="H2" s="15"/>
      <c r="I2" s="107" t="s">
        <v>23</v>
      </c>
      <c r="J2" s="10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(I12+I38)/2</f>
        <v>56.781688220575845</v>
      </c>
      <c r="J4" s="17">
        <f>(J12+J38)/2</f>
        <v>-33.103817036038905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24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>
        <v>309.3</v>
      </c>
      <c r="C12" s="25">
        <v>38</v>
      </c>
      <c r="D12" s="4">
        <f>IF(B12,B12-$C$4," ")</f>
        <v>39.300000000000011</v>
      </c>
      <c r="E12" s="4">
        <f>IF(B12,INT(D12)," ")</f>
        <v>39</v>
      </c>
      <c r="F12" s="4">
        <f>IF(B12,((D12-E12)/60*100)," ")</f>
        <v>0.50000000000001887</v>
      </c>
      <c r="G12" s="4">
        <f>IF(B12,C12*COS(PI()/180*(E12+F12))," ")</f>
        <v>29.321734168733347</v>
      </c>
      <c r="H12" s="4">
        <f>IF(B12,(C12*SIN(PI()/180*(E12+F12)))," ")</f>
        <v>24.170972370555042</v>
      </c>
      <c r="I12" s="4">
        <f>SUM(G12:G35)/D6</f>
        <v>50.936894655211546</v>
      </c>
      <c r="J12" s="4">
        <f>SUM(H12:H35)/D6</f>
        <v>14.803887311354053</v>
      </c>
      <c r="K12" s="4">
        <f>IF(B12,SUM(G12,-$I$12)," ")</f>
        <v>-21.615160486478199</v>
      </c>
      <c r="L12" s="4">
        <f>IF(B12,SUM(H12,-$J$12)," ")</f>
        <v>9.3670850592009884</v>
      </c>
      <c r="M12" s="4">
        <f>IF(B12,POWER(K12,2)," ")</f>
        <v>467.21516285620845</v>
      </c>
      <c r="N12" s="4">
        <f>IF(B12,POWER(L12,2)," ")</f>
        <v>87.742282506306381</v>
      </c>
      <c r="O12" s="4">
        <f>D6-1</f>
        <v>23</v>
      </c>
      <c r="P12" s="4">
        <f>SUM(M12:M35)</f>
        <v>10932.900556324108</v>
      </c>
      <c r="Q12" s="4">
        <f>SUM(N12:N35)</f>
        <v>1265.7638442345708</v>
      </c>
      <c r="R12" s="4">
        <f>PRODUCT(P12,1/$O$12)</f>
        <v>475.34350244887423</v>
      </c>
      <c r="S12" s="4">
        <f>PRODUCT(Q12,1/$O$12)</f>
        <v>55.03321061889438</v>
      </c>
      <c r="T12" s="4">
        <f>SQRT(R12)</f>
        <v>21.802373780138581</v>
      </c>
      <c r="U12" s="4">
        <f>SQRT(S12)</f>
        <v>7.41843720866426</v>
      </c>
      <c r="V12" s="4">
        <f>PRODUCT(T12:U12)</f>
        <v>161.73954088778609</v>
      </c>
      <c r="W12" s="10">
        <f>SQRT(V12)</f>
        <v>12.71768614519898</v>
      </c>
    </row>
    <row r="13" spans="1:23">
      <c r="A13" s="3">
        <v>2</v>
      </c>
      <c r="B13" s="25">
        <v>302.10000000000002</v>
      </c>
      <c r="C13" s="25">
        <v>42</v>
      </c>
      <c r="D13" s="4">
        <f t="shared" ref="D13:D35" si="0">IF(B13,B13-$C$4," ")</f>
        <v>32.100000000000023</v>
      </c>
      <c r="E13" s="4">
        <f t="shared" ref="E13:E35" si="1">IF(B13,INT(D13)," ")</f>
        <v>32</v>
      </c>
      <c r="F13" s="4">
        <f t="shared" ref="F13:F35" si="2">IF(B13,((D13-E13)/60*100)," ")</f>
        <v>0.16666666666670457</v>
      </c>
      <c r="G13" s="4">
        <f t="shared" ref="G13:G35" si="3">IF(B13,C13*COS(PI()/180*(E13+F13))," ")</f>
        <v>35.553127585834979</v>
      </c>
      <c r="H13" s="4">
        <f t="shared" ref="H13:H35" si="4">IF(B13,(C13*SIN(PI()/180*(E13+F13)))," ")</f>
        <v>22.360123408991729</v>
      </c>
      <c r="I13" s="4"/>
      <c r="J13" s="4"/>
      <c r="K13" s="4">
        <f t="shared" ref="K13:K35" si="5">IF(B13,SUM(G13,-$I$12)," ")</f>
        <v>-15.383767069376567</v>
      </c>
      <c r="L13" s="4">
        <f t="shared" ref="L13:L35" si="6">IF(B13,SUM(H13,-$J$12)," ")</f>
        <v>7.5562360976376759</v>
      </c>
      <c r="M13" s="4">
        <f t="shared" ref="M13:M35" si="7">IF(B13,POWER(K13,2)," ")</f>
        <v>236.6602892448349</v>
      </c>
      <c r="N13" s="4">
        <f t="shared" ref="N13:N34" si="8">IF(B13,POWER(L13,2)," ")</f>
        <v>57.096703963242653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>
        <v>284.10000000000002</v>
      </c>
      <c r="C14" s="25">
        <v>42</v>
      </c>
      <c r="D14" s="4">
        <f t="shared" si="0"/>
        <v>14.100000000000023</v>
      </c>
      <c r="E14" s="4">
        <f t="shared" si="1"/>
        <v>14</v>
      </c>
      <c r="F14" s="4">
        <f t="shared" si="2"/>
        <v>0.16666666666670457</v>
      </c>
      <c r="G14" s="4">
        <f t="shared" si="3"/>
        <v>40.722691794880866</v>
      </c>
      <c r="H14" s="4">
        <f t="shared" si="4"/>
        <v>10.279220446081625</v>
      </c>
      <c r="I14" s="4"/>
      <c r="J14" s="4"/>
      <c r="K14" s="4">
        <f t="shared" si="5"/>
        <v>-10.21420286033068</v>
      </c>
      <c r="L14" s="4">
        <f t="shared" si="6"/>
        <v>-4.5246668652724278</v>
      </c>
      <c r="M14" s="4">
        <f t="shared" si="7"/>
        <v>104.32994007198744</v>
      </c>
      <c r="N14" s="4">
        <f t="shared" si="8"/>
        <v>20.47261024169422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>
        <v>284.10000000000002</v>
      </c>
      <c r="C15" s="25">
        <v>42</v>
      </c>
      <c r="D15" s="4">
        <f t="shared" si="0"/>
        <v>14.100000000000023</v>
      </c>
      <c r="E15" s="4">
        <f t="shared" si="1"/>
        <v>14</v>
      </c>
      <c r="F15" s="4">
        <f t="shared" si="2"/>
        <v>0.16666666666670457</v>
      </c>
      <c r="G15" s="4">
        <f t="shared" si="3"/>
        <v>40.722691794880866</v>
      </c>
      <c r="H15" s="4">
        <f t="shared" si="4"/>
        <v>10.279220446081625</v>
      </c>
      <c r="I15" s="4"/>
      <c r="J15" s="4"/>
      <c r="K15" s="4">
        <f t="shared" si="5"/>
        <v>-10.21420286033068</v>
      </c>
      <c r="L15" s="4">
        <f t="shared" si="6"/>
        <v>-4.5246668652724278</v>
      </c>
      <c r="M15" s="4">
        <f t="shared" si="7"/>
        <v>104.32994007198744</v>
      </c>
      <c r="N15" s="4">
        <f t="shared" si="8"/>
        <v>20.47261024169422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>
        <v>287.45</v>
      </c>
      <c r="C16" s="25">
        <v>30</v>
      </c>
      <c r="D16" s="4">
        <f t="shared" si="0"/>
        <v>17.449999999999989</v>
      </c>
      <c r="E16" s="4">
        <f t="shared" si="1"/>
        <v>17</v>
      </c>
      <c r="F16" s="4">
        <f t="shared" si="2"/>
        <v>0.74999999999998102</v>
      </c>
      <c r="G16" s="4">
        <f t="shared" si="3"/>
        <v>28.571873989298354</v>
      </c>
      <c r="H16" s="4">
        <f t="shared" si="4"/>
        <v>9.1459289708403162</v>
      </c>
      <c r="I16" s="4"/>
      <c r="J16" s="4"/>
      <c r="K16" s="4">
        <f t="shared" si="5"/>
        <v>-22.365020665913192</v>
      </c>
      <c r="L16" s="4">
        <f t="shared" si="6"/>
        <v>-5.657958340513737</v>
      </c>
      <c r="M16" s="4">
        <f t="shared" si="7"/>
        <v>500.19414938672418</v>
      </c>
      <c r="N16" s="4">
        <f t="shared" si="8"/>
        <v>32.012492582988962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>
        <v>294.10000000000002</v>
      </c>
      <c r="C17" s="25">
        <v>30</v>
      </c>
      <c r="D17" s="4">
        <f t="shared" si="0"/>
        <v>24.100000000000023</v>
      </c>
      <c r="E17" s="4">
        <f t="shared" si="1"/>
        <v>24</v>
      </c>
      <c r="F17" s="4">
        <f t="shared" si="2"/>
        <v>0.16666666666670457</v>
      </c>
      <c r="G17" s="4">
        <f t="shared" si="3"/>
        <v>27.370753360590417</v>
      </c>
      <c r="H17" s="4">
        <f t="shared" si="4"/>
        <v>12.281769435782795</v>
      </c>
      <c r="I17" s="4"/>
      <c r="J17" s="4"/>
      <c r="K17" s="4">
        <f t="shared" si="5"/>
        <v>-23.566141294621129</v>
      </c>
      <c r="L17" s="4">
        <f t="shared" si="6"/>
        <v>-2.5221178755712579</v>
      </c>
      <c r="M17" s="4">
        <f t="shared" si="7"/>
        <v>555.36301551804729</v>
      </c>
      <c r="N17" s="4">
        <f t="shared" si="8"/>
        <v>6.361078578276075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>
        <v>290.39999999999998</v>
      </c>
      <c r="C18" s="25">
        <v>70</v>
      </c>
      <c r="D18" s="4">
        <f t="shared" si="0"/>
        <v>20.399999999999977</v>
      </c>
      <c r="E18" s="4">
        <f t="shared" si="1"/>
        <v>20</v>
      </c>
      <c r="F18" s="4">
        <f t="shared" si="2"/>
        <v>0.66666666666662877</v>
      </c>
      <c r="G18" s="4">
        <f t="shared" si="3"/>
        <v>65.495466108767218</v>
      </c>
      <c r="H18" s="4">
        <f t="shared" si="4"/>
        <v>24.705139529970779</v>
      </c>
      <c r="I18" s="4"/>
      <c r="J18" s="4"/>
      <c r="K18" s="4">
        <f t="shared" si="5"/>
        <v>14.558571453555672</v>
      </c>
      <c r="L18" s="4">
        <f t="shared" si="6"/>
        <v>9.901252218616726</v>
      </c>
      <c r="M18" s="4">
        <f t="shared" si="7"/>
        <v>211.95200276828612</v>
      </c>
      <c r="N18" s="4">
        <f t="shared" si="8"/>
        <v>98.034795496662639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>
        <v>287.45</v>
      </c>
      <c r="C19" s="25">
        <v>80</v>
      </c>
      <c r="D19" s="4">
        <f t="shared" si="0"/>
        <v>17.449999999999989</v>
      </c>
      <c r="E19" s="4">
        <f t="shared" si="1"/>
        <v>17</v>
      </c>
      <c r="F19" s="4">
        <f t="shared" si="2"/>
        <v>0.74999999999998102</v>
      </c>
      <c r="G19" s="4">
        <f t="shared" si="3"/>
        <v>76.191663971462276</v>
      </c>
      <c r="H19" s="4">
        <f t="shared" si="4"/>
        <v>24.389143922240844</v>
      </c>
      <c r="I19" s="4"/>
      <c r="J19" s="4"/>
      <c r="K19" s="4">
        <f t="shared" si="5"/>
        <v>25.25476931625073</v>
      </c>
      <c r="L19" s="4">
        <f t="shared" si="6"/>
        <v>9.5852566108867912</v>
      </c>
      <c r="M19" s="4">
        <f t="shared" si="7"/>
        <v>637.80337321703939</v>
      </c>
      <c r="N19" s="4">
        <f t="shared" si="8"/>
        <v>91.877144296548934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7">
        <v>272.14999999999998</v>
      </c>
      <c r="C20" s="25">
        <v>82</v>
      </c>
      <c r="D20" s="4">
        <f t="shared" si="0"/>
        <v>2.1499999999999773</v>
      </c>
      <c r="E20" s="4">
        <f t="shared" si="1"/>
        <v>2</v>
      </c>
      <c r="F20" s="4">
        <f t="shared" si="2"/>
        <v>0.24999999999996211</v>
      </c>
      <c r="G20" s="4">
        <f t="shared" si="3"/>
        <v>81.936780971739282</v>
      </c>
      <c r="H20" s="4">
        <f t="shared" si="4"/>
        <v>3.2193048922435721</v>
      </c>
      <c r="I20" s="4"/>
      <c r="J20" s="4"/>
      <c r="K20" s="4">
        <f t="shared" si="5"/>
        <v>30.999886316527736</v>
      </c>
      <c r="L20" s="4">
        <f t="shared" si="6"/>
        <v>-11.584582419110481</v>
      </c>
      <c r="M20" s="4">
        <f t="shared" si="7"/>
        <v>960.9929516376435</v>
      </c>
      <c r="N20" s="4">
        <f t="shared" si="8"/>
        <v>134.20254982516363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7">
        <v>272.2</v>
      </c>
      <c r="C21" s="25">
        <v>74</v>
      </c>
      <c r="D21" s="4">
        <f t="shared" si="0"/>
        <v>2.1999999999999886</v>
      </c>
      <c r="E21" s="4">
        <f t="shared" si="1"/>
        <v>2</v>
      </c>
      <c r="F21" s="4">
        <f t="shared" si="2"/>
        <v>0.33333333333331439</v>
      </c>
      <c r="G21" s="4">
        <f t="shared" si="3"/>
        <v>73.938644993439368</v>
      </c>
      <c r="H21" s="4">
        <f t="shared" si="4"/>
        <v>3.0127689148260668</v>
      </c>
      <c r="I21" s="4"/>
      <c r="J21" s="4"/>
      <c r="K21" s="4">
        <f t="shared" si="5"/>
        <v>23.001750338227822</v>
      </c>
      <c r="L21" s="4">
        <f t="shared" si="6"/>
        <v>-11.791118396527986</v>
      </c>
      <c r="M21" s="4">
        <f t="shared" si="7"/>
        <v>529.08051862216371</v>
      </c>
      <c r="N21" s="4">
        <f t="shared" si="8"/>
        <v>139.03047304094071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7">
        <v>277.35000000000002</v>
      </c>
      <c r="C22" s="25">
        <v>76</v>
      </c>
      <c r="D22" s="4">
        <f t="shared" si="0"/>
        <v>7.3500000000000227</v>
      </c>
      <c r="E22" s="4">
        <f t="shared" si="1"/>
        <v>7</v>
      </c>
      <c r="F22" s="4">
        <f t="shared" si="2"/>
        <v>0.58333333333337123</v>
      </c>
      <c r="G22" s="4">
        <f t="shared" si="3"/>
        <v>75.335301730573391</v>
      </c>
      <c r="H22" s="4">
        <f t="shared" si="4"/>
        <v>10.02957193321158</v>
      </c>
      <c r="I22" s="4"/>
      <c r="J22" s="4"/>
      <c r="K22" s="4">
        <f t="shared" si="5"/>
        <v>24.398407075361845</v>
      </c>
      <c r="L22" s="4">
        <f t="shared" si="6"/>
        <v>-4.7743153781424734</v>
      </c>
      <c r="M22" s="4">
        <f t="shared" si="7"/>
        <v>595.28226781506692</v>
      </c>
      <c r="N22" s="4">
        <f t="shared" si="8"/>
        <v>22.794087329967709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>
        <v>283.10000000000002</v>
      </c>
      <c r="C23" s="25">
        <v>74</v>
      </c>
      <c r="D23" s="4">
        <f t="shared" si="0"/>
        <v>13.100000000000023</v>
      </c>
      <c r="E23" s="4">
        <f t="shared" si="1"/>
        <v>13</v>
      </c>
      <c r="F23" s="4">
        <f t="shared" si="2"/>
        <v>0.16666666666670457</v>
      </c>
      <c r="G23" s="4">
        <f t="shared" si="3"/>
        <v>72.054657456956633</v>
      </c>
      <c r="H23" s="4">
        <f t="shared" si="4"/>
        <v>16.856047542666808</v>
      </c>
      <c r="I23" s="4"/>
      <c r="J23" s="4"/>
      <c r="K23" s="4">
        <f t="shared" si="5"/>
        <v>21.117762801745087</v>
      </c>
      <c r="L23" s="4">
        <f t="shared" si="6"/>
        <v>2.0521602313127545</v>
      </c>
      <c r="M23" s="4">
        <f t="shared" si="7"/>
        <v>445.95990575076848</v>
      </c>
      <c r="N23" s="4">
        <f t="shared" si="8"/>
        <v>4.2113616149816178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>
        <v>284.3</v>
      </c>
      <c r="C24" s="25">
        <v>72</v>
      </c>
      <c r="D24" s="4">
        <f t="shared" si="0"/>
        <v>14.300000000000011</v>
      </c>
      <c r="E24" s="4">
        <f t="shared" si="1"/>
        <v>14</v>
      </c>
      <c r="F24" s="4">
        <f t="shared" si="2"/>
        <v>0.50000000000001887</v>
      </c>
      <c r="G24" s="4">
        <f t="shared" si="3"/>
        <v>69.706630107223759</v>
      </c>
      <c r="H24" s="4">
        <f t="shared" si="4"/>
        <v>18.027360291919809</v>
      </c>
      <c r="I24" s="4"/>
      <c r="J24" s="4"/>
      <c r="K24" s="4">
        <f t="shared" si="5"/>
        <v>18.769735452012213</v>
      </c>
      <c r="L24" s="4">
        <f t="shared" si="6"/>
        <v>3.2234729805657558</v>
      </c>
      <c r="M24" s="4">
        <f t="shared" si="7"/>
        <v>352.30296893852415</v>
      </c>
      <c r="N24" s="4">
        <f t="shared" si="8"/>
        <v>10.390778056437478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>
        <v>284</v>
      </c>
      <c r="C25" s="25">
        <v>66</v>
      </c>
      <c r="D25" s="4">
        <f t="shared" si="0"/>
        <v>14</v>
      </c>
      <c r="E25" s="4">
        <f t="shared" si="1"/>
        <v>14</v>
      </c>
      <c r="F25" s="4">
        <f t="shared" si="2"/>
        <v>0</v>
      </c>
      <c r="G25" s="4">
        <f t="shared" si="3"/>
        <v>64.039517934215766</v>
      </c>
      <c r="H25" s="4">
        <f t="shared" si="4"/>
        <v>15.96684510957807</v>
      </c>
      <c r="I25" s="4"/>
      <c r="J25" s="4"/>
      <c r="K25" s="4">
        <f t="shared" si="5"/>
        <v>13.10262327900422</v>
      </c>
      <c r="L25" s="4">
        <f t="shared" si="6"/>
        <v>1.1629577982240171</v>
      </c>
      <c r="M25" s="4">
        <f t="shared" si="7"/>
        <v>171.6787367915033</v>
      </c>
      <c r="N25" s="4">
        <f t="shared" si="8"/>
        <v>1.3524708404500538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7">
        <v>282.05</v>
      </c>
      <c r="C26" s="25">
        <v>64</v>
      </c>
      <c r="D26" s="4">
        <f t="shared" si="0"/>
        <v>12.050000000000011</v>
      </c>
      <c r="E26" s="4">
        <f t="shared" si="1"/>
        <v>12</v>
      </c>
      <c r="F26" s="4">
        <f t="shared" si="2"/>
        <v>8.3333333333352286E-2</v>
      </c>
      <c r="G26" s="4">
        <f t="shared" si="3"/>
        <v>62.582026941310971</v>
      </c>
      <c r="H26" s="4">
        <f t="shared" si="4"/>
        <v>13.397384219205911</v>
      </c>
      <c r="I26" s="4"/>
      <c r="J26" s="4"/>
      <c r="K26" s="4">
        <f t="shared" si="5"/>
        <v>11.645132286099425</v>
      </c>
      <c r="L26" s="4">
        <f t="shared" si="6"/>
        <v>-1.4065030921481423</v>
      </c>
      <c r="M26" s="4">
        <f t="shared" si="7"/>
        <v>135.60910596075522</v>
      </c>
      <c r="N26" s="4">
        <f t="shared" si="8"/>
        <v>1.9782509482222856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7">
        <v>283.25</v>
      </c>
      <c r="C27" s="25">
        <v>62</v>
      </c>
      <c r="D27" s="4">
        <f t="shared" si="0"/>
        <v>13.25</v>
      </c>
      <c r="E27" s="4">
        <f t="shared" si="1"/>
        <v>13</v>
      </c>
      <c r="F27" s="4">
        <f t="shared" si="2"/>
        <v>0.41666666666666669</v>
      </c>
      <c r="G27" s="4">
        <f t="shared" si="3"/>
        <v>60.30792230794296</v>
      </c>
      <c r="H27" s="4">
        <f t="shared" si="4"/>
        <v>14.385913488517724</v>
      </c>
      <c r="I27" s="4"/>
      <c r="J27" s="4"/>
      <c r="K27" s="4">
        <f t="shared" si="5"/>
        <v>9.3710276527314136</v>
      </c>
      <c r="L27" s="4">
        <f t="shared" si="6"/>
        <v>-0.41797382283632878</v>
      </c>
      <c r="M27" s="4">
        <f t="shared" si="7"/>
        <v>87.816159268256825</v>
      </c>
      <c r="N27" s="4">
        <f t="shared" si="8"/>
        <v>0.17470211657641477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>
        <v>282.45</v>
      </c>
      <c r="C28" s="25">
        <v>68</v>
      </c>
      <c r="D28" s="4">
        <f t="shared" si="0"/>
        <v>12.449999999999989</v>
      </c>
      <c r="E28" s="4">
        <f t="shared" si="1"/>
        <v>12</v>
      </c>
      <c r="F28" s="4">
        <f t="shared" si="2"/>
        <v>0.74999999999998102</v>
      </c>
      <c r="G28" s="4">
        <f t="shared" si="3"/>
        <v>66.323277794578871</v>
      </c>
      <c r="H28" s="4">
        <f t="shared" si="4"/>
        <v>15.007425581462053</v>
      </c>
      <c r="I28" s="4"/>
      <c r="J28" s="4"/>
      <c r="K28" s="4">
        <f t="shared" si="5"/>
        <v>15.386383139367325</v>
      </c>
      <c r="L28" s="4">
        <f t="shared" si="6"/>
        <v>0.20353827010799996</v>
      </c>
      <c r="M28" s="4">
        <f t="shared" si="7"/>
        <v>236.74078611140712</v>
      </c>
      <c r="N28" s="4">
        <f t="shared" si="8"/>
        <v>4.1427827398557153E-2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7">
        <v>272.45</v>
      </c>
      <c r="C29" s="25">
        <v>60</v>
      </c>
      <c r="D29" s="4">
        <f t="shared" si="0"/>
        <v>2.4499999999999886</v>
      </c>
      <c r="E29" s="4">
        <f t="shared" si="1"/>
        <v>2</v>
      </c>
      <c r="F29" s="4">
        <f t="shared" si="2"/>
        <v>0.74999999999998102</v>
      </c>
      <c r="G29" s="4">
        <f t="shared" si="3"/>
        <v>59.930903189097037</v>
      </c>
      <c r="H29" s="4">
        <f t="shared" si="4"/>
        <v>2.8786877112806164</v>
      </c>
      <c r="I29" s="4"/>
      <c r="J29" s="4"/>
      <c r="K29" s="4">
        <f t="shared" si="5"/>
        <v>8.9940085338854914</v>
      </c>
      <c r="L29" s="4">
        <f t="shared" si="6"/>
        <v>-11.925199600073437</v>
      </c>
      <c r="M29" s="4">
        <f t="shared" si="7"/>
        <v>80.892189507605039</v>
      </c>
      <c r="N29" s="4">
        <f t="shared" si="8"/>
        <v>142.21038550159167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7">
        <v>279.2</v>
      </c>
      <c r="C30" s="25">
        <v>52</v>
      </c>
      <c r="D30" s="4">
        <f t="shared" si="0"/>
        <v>9.1999999999999886</v>
      </c>
      <c r="E30" s="4">
        <f t="shared" si="1"/>
        <v>9</v>
      </c>
      <c r="F30" s="4">
        <f t="shared" si="2"/>
        <v>0.33333333333331439</v>
      </c>
      <c r="G30" s="4">
        <f t="shared" si="3"/>
        <v>51.311599669854118</v>
      </c>
      <c r="H30" s="4">
        <f t="shared" si="4"/>
        <v>8.4332520014894889</v>
      </c>
      <c r="I30" s="4"/>
      <c r="J30" s="4"/>
      <c r="K30" s="4">
        <f t="shared" si="5"/>
        <v>0.37470501464257211</v>
      </c>
      <c r="L30" s="4">
        <f t="shared" si="6"/>
        <v>-6.3706353098645643</v>
      </c>
      <c r="M30" s="4">
        <f t="shared" si="7"/>
        <v>0.14040384799829017</v>
      </c>
      <c r="N30" s="4">
        <f t="shared" si="8"/>
        <v>40.584994251293175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7">
        <v>281.55</v>
      </c>
      <c r="C31" s="25">
        <v>54</v>
      </c>
      <c r="D31" s="4">
        <f t="shared" si="0"/>
        <v>11.550000000000011</v>
      </c>
      <c r="E31" s="4">
        <f t="shared" si="1"/>
        <v>11</v>
      </c>
      <c r="F31" s="4">
        <f>IF(B31,((D31-E31)/60*100)," ")</f>
        <v>0.91666666666668561</v>
      </c>
      <c r="G31" s="4">
        <f t="shared" si="3"/>
        <v>52.836243912240199</v>
      </c>
      <c r="H31" s="4">
        <f t="shared" si="4"/>
        <v>11.150395923296193</v>
      </c>
      <c r="I31" s="4"/>
      <c r="J31" s="4"/>
      <c r="K31" s="4">
        <f t="shared" si="5"/>
        <v>1.8993492570286534</v>
      </c>
      <c r="L31" s="4">
        <f t="shared" si="6"/>
        <v>-3.6534913880578603</v>
      </c>
      <c r="M31" s="4">
        <f t="shared" si="7"/>
        <v>3.6075276001752976</v>
      </c>
      <c r="N31" s="4">
        <f t="shared" si="8"/>
        <v>13.347999322612951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7">
        <v>284.39999999999998</v>
      </c>
      <c r="C32" s="25">
        <v>52</v>
      </c>
      <c r="D32" s="4">
        <f t="shared" si="0"/>
        <v>14.399999999999977</v>
      </c>
      <c r="E32" s="4">
        <f t="shared" si="1"/>
        <v>14</v>
      </c>
      <c r="F32" s="4">
        <f t="shared" si="2"/>
        <v>0.66666666666662877</v>
      </c>
      <c r="G32" s="4">
        <f t="shared" si="3"/>
        <v>50.305591412068935</v>
      </c>
      <c r="H32" s="4">
        <f>IF(B32,(C32*SIN(PI()/180*(E32+F32)))," ")</f>
        <v>13.166148741449657</v>
      </c>
      <c r="I32" s="4"/>
      <c r="J32" s="4"/>
      <c r="K32" s="4">
        <f t="shared" si="5"/>
        <v>-0.63130324314261088</v>
      </c>
      <c r="L32" s="4">
        <f t="shared" si="6"/>
        <v>-1.6377385699043963</v>
      </c>
      <c r="M32" s="4">
        <f t="shared" si="7"/>
        <v>0.39854378480237845</v>
      </c>
      <c r="N32" s="4">
        <f t="shared" si="8"/>
        <v>2.6821876233524971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>
        <v>325.5</v>
      </c>
      <c r="C33" s="25">
        <v>38</v>
      </c>
      <c r="D33" s="4">
        <f t="shared" si="0"/>
        <v>55.5</v>
      </c>
      <c r="E33" s="4">
        <f t="shared" si="1"/>
        <v>55</v>
      </c>
      <c r="F33" s="4">
        <f t="shared" si="2"/>
        <v>0.83333333333333337</v>
      </c>
      <c r="G33" s="4">
        <f t="shared" si="3"/>
        <v>21.340880057772729</v>
      </c>
      <c r="H33" s="4">
        <f t="shared" si="4"/>
        <v>31.441482763377401</v>
      </c>
      <c r="I33" s="4"/>
      <c r="J33" s="4"/>
      <c r="K33" s="4">
        <f t="shared" si="5"/>
        <v>-29.596014597438817</v>
      </c>
      <c r="L33" s="4">
        <f t="shared" si="6"/>
        <v>16.637595452023348</v>
      </c>
      <c r="M33" s="4">
        <f t="shared" si="7"/>
        <v>875.92408005181153</v>
      </c>
      <c r="N33" s="4">
        <f t="shared" si="8"/>
        <v>276.80958242518801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>
        <v>340.2</v>
      </c>
      <c r="C34" s="25">
        <v>22</v>
      </c>
      <c r="D34" s="4">
        <f t="shared" si="0"/>
        <v>70.199999999999989</v>
      </c>
      <c r="E34" s="4">
        <f t="shared" si="1"/>
        <v>70</v>
      </c>
      <c r="F34" s="4">
        <f t="shared" si="2"/>
        <v>0.33333333333331439</v>
      </c>
      <c r="G34" s="4">
        <f t="shared" si="3"/>
        <v>7.4040444730147881</v>
      </c>
      <c r="H34" s="4">
        <f t="shared" si="4"/>
        <v>20.716662990009254</v>
      </c>
      <c r="I34" s="4"/>
      <c r="J34" s="4"/>
      <c r="K34" s="4">
        <f>IF(B34,SUM(G34,-$I$12)," ")</f>
        <v>-43.532850182196761</v>
      </c>
      <c r="L34" s="4">
        <f t="shared" si="6"/>
        <v>5.9127756786552013</v>
      </c>
      <c r="M34" s="4">
        <f t="shared" si="7"/>
        <v>1895.1090449855885</v>
      </c>
      <c r="N34" s="4">
        <f t="shared" si="8"/>
        <v>34.960916226096472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5">
        <v>335.2</v>
      </c>
      <c r="C35" s="26">
        <v>22</v>
      </c>
      <c r="D35" s="7">
        <f t="shared" si="0"/>
        <v>65.199999999999989</v>
      </c>
      <c r="E35" s="7">
        <f t="shared" si="1"/>
        <v>65</v>
      </c>
      <c r="F35" s="7">
        <f t="shared" si="2"/>
        <v>0.33333333333331439</v>
      </c>
      <c r="G35" s="7">
        <f t="shared" si="3"/>
        <v>9.1814459985999992</v>
      </c>
      <c r="H35" s="7">
        <f t="shared" si="4"/>
        <v>19.992524837418411</v>
      </c>
      <c r="I35" s="7"/>
      <c r="J35" s="7"/>
      <c r="K35" s="7">
        <f t="shared" si="5"/>
        <v>-41.755448656611549</v>
      </c>
      <c r="L35" s="7">
        <f t="shared" si="6"/>
        <v>5.1886375260643582</v>
      </c>
      <c r="M35" s="7">
        <f t="shared" si="7"/>
        <v>1743.5174925149231</v>
      </c>
      <c r="N35" s="7">
        <f>IF(B35,POWER(L35,2)," ")</f>
        <v>26.921959376883265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>
        <v>118.4</v>
      </c>
      <c r="C38" s="25">
        <v>92</v>
      </c>
      <c r="D38" s="4">
        <f t="shared" ref="D38:D46" si="9">IF(B38,B38-$C$4," ")</f>
        <v>-151.6</v>
      </c>
      <c r="E38" s="4">
        <f t="shared" ref="E38:E46" si="10">IF(B38,INT(D38)," ")</f>
        <v>-152</v>
      </c>
      <c r="F38" s="4">
        <f t="shared" ref="F38:F46" si="11">IF(B38,((D38-E38)/60*100)," ")</f>
        <v>0.66666666666667618</v>
      </c>
      <c r="G38" s="4">
        <f t="shared" ref="G38:G46" si="12">IF(B38,C38*COS(PI()/180*(E38+F38))," ")</f>
        <v>-80.723136611821531</v>
      </c>
      <c r="H38" s="4">
        <f t="shared" ref="H38:H46" si="13">IF(B38,(C38*SIN(PI()/180*(E38+F38)))," ")</f>
        <v>-44.133606419022669</v>
      </c>
      <c r="I38" s="4">
        <f>SUM(G38:G61)/E6</f>
        <v>62.62648178594015</v>
      </c>
      <c r="J38" s="4">
        <f>SUM(H38:H61)/E6</f>
        <v>-81.011521383431869</v>
      </c>
      <c r="K38" s="4">
        <f t="shared" ref="K38:K46" si="14">IF(B38,SUM(G38,-$I$12)," ")</f>
        <v>-131.66003126703308</v>
      </c>
      <c r="L38" s="4">
        <f t="shared" ref="L38:L46" si="15">IF(B38,SUM(H38,-$J$12)," ")</f>
        <v>-58.937493730376723</v>
      </c>
      <c r="M38" s="4">
        <f t="shared" ref="M38:M46" si="16">IF(B38,POWER(K38,2)," ")</f>
        <v>17334.363833236126</v>
      </c>
      <c r="N38" s="4">
        <f t="shared" ref="N38:N46" si="17">IF(B38,POWER(L38,2)," ")</f>
        <v>3473.6281672181954</v>
      </c>
      <c r="O38" s="4">
        <f>E6-1</f>
        <v>23</v>
      </c>
      <c r="P38" s="4">
        <f>SUM(M38:M61)</f>
        <v>35946.556711838333</v>
      </c>
      <c r="Q38" s="4">
        <f>SUM(N38:N61)</f>
        <v>222412.55143758934</v>
      </c>
      <c r="R38" s="4">
        <f>PRODUCT(P38,1/$O$38)</f>
        <v>1562.8937700799274</v>
      </c>
      <c r="S38" s="4">
        <f>PRODUCT(Q38,1/$O$38)</f>
        <v>9670.1109320691012</v>
      </c>
      <c r="T38" s="4">
        <f>SQRT(R38)</f>
        <v>39.533451279643259</v>
      </c>
      <c r="U38" s="4">
        <f>SQRT(S38)</f>
        <v>98.33672219506353</v>
      </c>
      <c r="V38" s="4">
        <f>PRODUCT(T38:U38)</f>
        <v>3887.5900158983582</v>
      </c>
      <c r="W38" s="10">
        <f>SQRT(V38)</f>
        <v>62.350541424259966</v>
      </c>
    </row>
    <row r="39" spans="1:23">
      <c r="A39" s="3">
        <v>2</v>
      </c>
      <c r="B39" s="25">
        <v>196.55</v>
      </c>
      <c r="C39" s="25">
        <v>90</v>
      </c>
      <c r="D39" s="4">
        <f t="shared" si="9"/>
        <v>-73.449999999999989</v>
      </c>
      <c r="E39" s="4">
        <f t="shared" si="10"/>
        <v>-74</v>
      </c>
      <c r="F39" s="4">
        <f t="shared" si="11"/>
        <v>0.91666666666668561</v>
      </c>
      <c r="G39" s="4">
        <f t="shared" si="12"/>
        <v>26.188245637632011</v>
      </c>
      <c r="H39" s="4">
        <f t="shared" si="13"/>
        <v>-86.105608356384366</v>
      </c>
      <c r="I39" s="4"/>
      <c r="J39" s="4"/>
      <c r="K39" s="4">
        <f t="shared" si="14"/>
        <v>-24.748649017579535</v>
      </c>
      <c r="L39" s="4">
        <f t="shared" si="15"/>
        <v>-100.90949566773841</v>
      </c>
      <c r="M39" s="4">
        <f t="shared" si="16"/>
        <v>612.49562819534049</v>
      </c>
      <c r="N39" s="4">
        <f t="shared" si="17"/>
        <v>10182.726315917318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>
        <v>199.55</v>
      </c>
      <c r="C40" s="25">
        <v>94</v>
      </c>
      <c r="D40" s="4">
        <f t="shared" si="9"/>
        <v>-70.449999999999989</v>
      </c>
      <c r="E40" s="4">
        <f t="shared" si="10"/>
        <v>-71</v>
      </c>
      <c r="F40" s="4">
        <f t="shared" si="11"/>
        <v>0.91666666666668561</v>
      </c>
      <c r="G40" s="4">
        <f t="shared" si="12"/>
        <v>32.021387126508024</v>
      </c>
      <c r="H40" s="4">
        <f t="shared" si="13"/>
        <v>-88.377773034255085</v>
      </c>
      <c r="I40" s="4"/>
      <c r="J40" s="4"/>
      <c r="K40" s="4">
        <f t="shared" si="14"/>
        <v>-18.915507528703522</v>
      </c>
      <c r="L40" s="4">
        <f t="shared" si="15"/>
        <v>-103.18166034560915</v>
      </c>
      <c r="M40" s="4">
        <f t="shared" si="16"/>
        <v>357.79642506843959</v>
      </c>
      <c r="N40" s="4">
        <f t="shared" si="17"/>
        <v>10646.455031676651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>
        <v>202.45</v>
      </c>
      <c r="C41" s="25">
        <v>96</v>
      </c>
      <c r="D41" s="4">
        <f t="shared" si="9"/>
        <v>-67.550000000000011</v>
      </c>
      <c r="E41" s="4">
        <f t="shared" si="10"/>
        <v>-68</v>
      </c>
      <c r="F41" s="4">
        <f t="shared" si="11"/>
        <v>0.74999999999998102</v>
      </c>
      <c r="G41" s="4">
        <f t="shared" si="12"/>
        <v>37.124252317134761</v>
      </c>
      <c r="H41" s="4">
        <f t="shared" si="13"/>
        <v>-88.531293280363386</v>
      </c>
      <c r="I41" s="4"/>
      <c r="J41" s="4"/>
      <c r="K41" s="4">
        <f t="shared" si="14"/>
        <v>-13.812642338076785</v>
      </c>
      <c r="L41" s="4">
        <f t="shared" si="15"/>
        <v>-103.33518059171743</v>
      </c>
      <c r="M41" s="4">
        <f t="shared" si="16"/>
        <v>190.78908835963131</v>
      </c>
      <c r="N41" s="4">
        <f t="shared" si="17"/>
        <v>10678.159547922854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>
        <v>204.5</v>
      </c>
      <c r="C42" s="25">
        <v>92</v>
      </c>
      <c r="D42" s="4">
        <f t="shared" si="9"/>
        <v>-65.5</v>
      </c>
      <c r="E42" s="4">
        <f t="shared" si="10"/>
        <v>-66</v>
      </c>
      <c r="F42" s="4">
        <f t="shared" si="11"/>
        <v>0.83333333333333337</v>
      </c>
      <c r="G42" s="4">
        <f t="shared" si="12"/>
        <v>38.638172416403684</v>
      </c>
      <c r="H42" s="4">
        <f t="shared" si="13"/>
        <v>-83.493063378464328</v>
      </c>
      <c r="I42" s="4"/>
      <c r="J42" s="4"/>
      <c r="K42" s="4">
        <f t="shared" si="14"/>
        <v>-12.298722238807862</v>
      </c>
      <c r="L42" s="4">
        <f t="shared" si="15"/>
        <v>-98.296950689818374</v>
      </c>
      <c r="M42" s="4">
        <f t="shared" si="16"/>
        <v>151.25856870734708</v>
      </c>
      <c r="N42" s="4">
        <f t="shared" si="17"/>
        <v>9662.2905149165854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>
        <v>209.2</v>
      </c>
      <c r="C43" s="25">
        <v>102</v>
      </c>
      <c r="D43" s="4">
        <f t="shared" si="9"/>
        <v>-60.800000000000011</v>
      </c>
      <c r="E43" s="4">
        <f t="shared" si="10"/>
        <v>-61</v>
      </c>
      <c r="F43" s="4">
        <f t="shared" si="11"/>
        <v>0.33333333333331439</v>
      </c>
      <c r="G43" s="4">
        <f t="shared" si="12"/>
        <v>49.96875126028484</v>
      </c>
      <c r="H43" s="4">
        <f t="shared" si="13"/>
        <v>-88.922010197069781</v>
      </c>
      <c r="I43" s="4"/>
      <c r="J43" s="4"/>
      <c r="K43" s="4">
        <f t="shared" si="14"/>
        <v>-0.96814339492670598</v>
      </c>
      <c r="L43" s="4">
        <f t="shared" si="15"/>
        <v>-103.72589750842383</v>
      </c>
      <c r="M43" s="4">
        <f t="shared" si="16"/>
        <v>0.93730163314020776</v>
      </c>
      <c r="N43" s="4">
        <f t="shared" si="17"/>
        <v>10759.061813928045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>
        <v>209.25</v>
      </c>
      <c r="C44" s="25">
        <v>106</v>
      </c>
      <c r="D44" s="4">
        <f t="shared" si="9"/>
        <v>-60.75</v>
      </c>
      <c r="E44" s="4">
        <f t="shared" si="10"/>
        <v>-61</v>
      </c>
      <c r="F44" s="4">
        <f t="shared" si="11"/>
        <v>0.41666666666666669</v>
      </c>
      <c r="G44" s="4">
        <f t="shared" si="12"/>
        <v>52.062658818734313</v>
      </c>
      <c r="H44" s="4">
        <f t="shared" si="13"/>
        <v>-92.333523471835875</v>
      </c>
      <c r="I44" s="4"/>
      <c r="J44" s="4"/>
      <c r="K44" s="4">
        <f t="shared" si="14"/>
        <v>1.1257641635227671</v>
      </c>
      <c r="L44" s="4">
        <f t="shared" si="15"/>
        <v>-107.13741078318992</v>
      </c>
      <c r="M44" s="4">
        <f t="shared" si="16"/>
        <v>1.2673449518721154</v>
      </c>
      <c r="N44" s="4">
        <f t="shared" si="17"/>
        <v>11478.42478932598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>
        <v>210.15</v>
      </c>
      <c r="C45" s="25">
        <v>106</v>
      </c>
      <c r="D45" s="4">
        <f t="shared" si="9"/>
        <v>-59.849999999999994</v>
      </c>
      <c r="E45" s="4">
        <f t="shared" si="10"/>
        <v>-60</v>
      </c>
      <c r="F45" s="4">
        <f t="shared" si="11"/>
        <v>0.25000000000000944</v>
      </c>
      <c r="G45" s="4">
        <f t="shared" si="12"/>
        <v>53.400041566825784</v>
      </c>
      <c r="H45" s="4">
        <f t="shared" si="13"/>
        <v>-91.566563551665936</v>
      </c>
      <c r="I45" s="4"/>
      <c r="J45" s="4"/>
      <c r="K45" s="4">
        <f t="shared" si="14"/>
        <v>2.4631469116142384</v>
      </c>
      <c r="L45" s="4">
        <f t="shared" si="15"/>
        <v>-106.37045086301998</v>
      </c>
      <c r="M45" s="4">
        <f t="shared" si="16"/>
        <v>6.0670927081947603</v>
      </c>
      <c r="N45" s="4">
        <f t="shared" si="17"/>
        <v>11314.672816802149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>
        <v>214.3</v>
      </c>
      <c r="C46" s="25">
        <v>94</v>
      </c>
      <c r="D46" s="4">
        <f t="shared" si="9"/>
        <v>-55.699999999999989</v>
      </c>
      <c r="E46" s="4">
        <f t="shared" si="10"/>
        <v>-56</v>
      </c>
      <c r="F46" s="4">
        <f t="shared" si="11"/>
        <v>0.50000000000001887</v>
      </c>
      <c r="G46" s="4">
        <f t="shared" si="12"/>
        <v>53.242186270934319</v>
      </c>
      <c r="H46" s="4">
        <f t="shared" si="13"/>
        <v>-77.467861730469451</v>
      </c>
      <c r="I46" s="4"/>
      <c r="J46" s="4"/>
      <c r="K46" s="4">
        <f t="shared" si="14"/>
        <v>2.3052916157227727</v>
      </c>
      <c r="L46" s="4">
        <f t="shared" si="15"/>
        <v>-92.271749041823512</v>
      </c>
      <c r="M46" s="4">
        <f t="shared" si="16"/>
        <v>5.314369433521712</v>
      </c>
      <c r="N46" s="4">
        <f t="shared" si="17"/>
        <v>8514.0756712372586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>
        <v>217.15</v>
      </c>
      <c r="C47" s="25">
        <v>92</v>
      </c>
      <c r="D47" s="4">
        <f t="shared" ref="D47:D61" si="18">IF(B47,B47-$C$4," ")</f>
        <v>-52.849999999999994</v>
      </c>
      <c r="E47" s="4">
        <f t="shared" ref="E47:E61" si="19">IF(B47,INT(D47)," ")</f>
        <v>-53</v>
      </c>
      <c r="F47" s="4">
        <f t="shared" ref="F47:F61" si="20">IF(B47,((D47-E47)/60*100)," ")</f>
        <v>0.25000000000000944</v>
      </c>
      <c r="G47" s="4">
        <f t="shared" ref="G47:G61" si="21">IF(B47,C47*COS(PI()/180*(E47+F47))," ")</f>
        <v>55.687046899946289</v>
      </c>
      <c r="H47" s="4">
        <f t="shared" ref="H47:H61" si="22">IF(B47,(C47*SIN(PI()/180*(E47+F47)))," ")</f>
        <v>-73.232184233185222</v>
      </c>
      <c r="I47" s="4"/>
      <c r="J47" s="4"/>
      <c r="K47" s="4">
        <f t="shared" ref="K47:K61" si="23">IF(B47,SUM(G47,-$I$12)," ")</f>
        <v>4.7501522447347426</v>
      </c>
      <c r="L47" s="4">
        <f t="shared" ref="L47:L61" si="24">IF(B47,SUM(H47,-$J$12)," ")</f>
        <v>-88.036071544539283</v>
      </c>
      <c r="M47" s="4">
        <f t="shared" ref="M47:M61" si="25">IF(B47,POWER(K47,2)," ")</f>
        <v>22.563946348158513</v>
      </c>
      <c r="N47" s="4">
        <f t="shared" ref="N47:N61" si="26">IF(B47,POWER(L47,2)," ")</f>
        <v>7750.3498929952393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>
        <v>223.15</v>
      </c>
      <c r="C48" s="25">
        <v>100</v>
      </c>
      <c r="D48" s="4">
        <f t="shared" si="18"/>
        <v>-46.849999999999994</v>
      </c>
      <c r="E48" s="4">
        <f t="shared" si="19"/>
        <v>-47</v>
      </c>
      <c r="F48" s="4">
        <f t="shared" si="20"/>
        <v>0.25000000000000944</v>
      </c>
      <c r="G48" s="4">
        <f t="shared" si="21"/>
        <v>68.518299032635923</v>
      </c>
      <c r="H48" s="4">
        <f t="shared" si="22"/>
        <v>-72.837096988240006</v>
      </c>
      <c r="I48" s="4"/>
      <c r="J48" s="4"/>
      <c r="K48" s="4">
        <f t="shared" si="23"/>
        <v>17.581404377424377</v>
      </c>
      <c r="L48" s="4">
        <f t="shared" si="24"/>
        <v>-87.640984299594066</v>
      </c>
      <c r="M48" s="4">
        <f t="shared" si="25"/>
        <v>309.10577988251703</v>
      </c>
      <c r="N48" s="4">
        <f t="shared" si="26"/>
        <v>7680.9421290016935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>
        <v>224.3</v>
      </c>
      <c r="C49" s="25">
        <v>104</v>
      </c>
      <c r="D49" s="4">
        <f t="shared" si="18"/>
        <v>-45.699999999999989</v>
      </c>
      <c r="E49" s="4">
        <f t="shared" si="19"/>
        <v>-46</v>
      </c>
      <c r="F49" s="4">
        <f t="shared" si="20"/>
        <v>0.50000000000001887</v>
      </c>
      <c r="G49" s="4">
        <f t="shared" si="21"/>
        <v>72.894563487184513</v>
      </c>
      <c r="H49" s="4">
        <f t="shared" si="22"/>
        <v>-74.178046712034856</v>
      </c>
      <c r="I49" s="4"/>
      <c r="J49" s="4"/>
      <c r="K49" s="4">
        <f t="shared" si="23"/>
        <v>21.957668831972967</v>
      </c>
      <c r="L49" s="4">
        <f t="shared" si="24"/>
        <v>-88.981934023388902</v>
      </c>
      <c r="M49" s="4">
        <f t="shared" si="25"/>
        <v>482.13922053459709</v>
      </c>
      <c r="N49" s="4">
        <f t="shared" si="26"/>
        <v>7917.7845825427357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>
        <v>219.55</v>
      </c>
      <c r="C50" s="25">
        <v>106</v>
      </c>
      <c r="D50" s="4">
        <f t="shared" ref="D50:D58" si="27">IF(B50,B50-$C$4," ")</f>
        <v>-50.449999999999989</v>
      </c>
      <c r="E50" s="4">
        <f t="shared" ref="E50:E58" si="28">IF(B50,INT(D50)," ")</f>
        <v>-51</v>
      </c>
      <c r="F50" s="4">
        <f t="shared" ref="F50:F58" si="29">IF(B50,((D50-E50)/60*100)," ")</f>
        <v>0.91666666666668561</v>
      </c>
      <c r="G50" s="4">
        <f t="shared" ref="G50:G58" si="30">IF(B50,C50*COS(PI()/180*(E50+F50))," ")</f>
        <v>68.017312954779882</v>
      </c>
      <c r="H50" s="4">
        <f t="shared" ref="H50:H58" si="31">IF(B50,(C50*SIN(PI()/180*(E50+F50)))," ")</f>
        <v>-81.29972409800375</v>
      </c>
      <c r="I50" s="4"/>
      <c r="J50" s="4"/>
      <c r="K50" s="4">
        <f t="shared" ref="K50:K58" si="32">IF(B50,SUM(G50,-$I$12)," ")</f>
        <v>17.080418299568336</v>
      </c>
      <c r="L50" s="4">
        <f t="shared" ref="L50:L58" si="33">IF(B50,SUM(H50,-$J$12)," ")</f>
        <v>-96.103611409357796</v>
      </c>
      <c r="M50" s="4">
        <f t="shared" ref="M50:M58" si="34">IF(B50,POWER(K50,2)," ")</f>
        <v>291.74068928822891</v>
      </c>
      <c r="N50" s="4">
        <f t="shared" ref="N50:N58" si="35">IF(B50,POWER(L50,2)," ")</f>
        <v>9235.9041259208461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>
        <v>223.55</v>
      </c>
      <c r="C51" s="25">
        <v>112</v>
      </c>
      <c r="D51" s="4">
        <f t="shared" si="27"/>
        <v>-46.449999999999989</v>
      </c>
      <c r="E51" s="4">
        <f t="shared" si="28"/>
        <v>-47</v>
      </c>
      <c r="F51" s="4">
        <f t="shared" si="29"/>
        <v>0.91666666666668561</v>
      </c>
      <c r="G51" s="4">
        <f t="shared" si="30"/>
        <v>77.684476660958623</v>
      </c>
      <c r="H51" s="4">
        <f t="shared" si="31"/>
        <v>-80.679130423629232</v>
      </c>
      <c r="I51" s="4"/>
      <c r="J51" s="4"/>
      <c r="K51" s="4">
        <f t="shared" si="32"/>
        <v>26.747582005747077</v>
      </c>
      <c r="L51" s="4">
        <f t="shared" si="33"/>
        <v>-95.483017734983292</v>
      </c>
      <c r="M51" s="4">
        <f t="shared" si="34"/>
        <v>715.43314315416478</v>
      </c>
      <c r="N51" s="4">
        <f t="shared" si="35"/>
        <v>9117.0066757791337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>
        <v>224</v>
      </c>
      <c r="C52" s="25">
        <v>114</v>
      </c>
      <c r="D52" s="4">
        <f t="shared" si="27"/>
        <v>-46</v>
      </c>
      <c r="E52" s="4">
        <f t="shared" si="28"/>
        <v>-46</v>
      </c>
      <c r="F52" s="4">
        <f t="shared" si="29"/>
        <v>0</v>
      </c>
      <c r="G52" s="4">
        <f t="shared" si="30"/>
        <v>79.191054232325683</v>
      </c>
      <c r="H52" s="4">
        <f t="shared" si="31"/>
        <v>-82.004737238606225</v>
      </c>
      <c r="I52" s="4"/>
      <c r="J52" s="4"/>
      <c r="K52" s="4">
        <f t="shared" si="32"/>
        <v>28.254159577114137</v>
      </c>
      <c r="L52" s="4">
        <f t="shared" si="33"/>
        <v>-96.808624549960285</v>
      </c>
      <c r="M52" s="4">
        <f t="shared" si="34"/>
        <v>798.29753340903051</v>
      </c>
      <c r="N52" s="4">
        <f t="shared" si="35"/>
        <v>9371.9097872551738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>
        <v>224.45</v>
      </c>
      <c r="C53" s="25">
        <v>118</v>
      </c>
      <c r="D53" s="4">
        <f t="shared" si="27"/>
        <v>-45.550000000000011</v>
      </c>
      <c r="E53" s="4">
        <f t="shared" si="28"/>
        <v>-46</v>
      </c>
      <c r="F53" s="4">
        <f t="shared" si="29"/>
        <v>0.74999999999998102</v>
      </c>
      <c r="G53" s="4">
        <f t="shared" si="30"/>
        <v>83.073737485804244</v>
      </c>
      <c r="H53" s="4">
        <f t="shared" si="31"/>
        <v>-83.801874323547707</v>
      </c>
      <c r="I53" s="4"/>
      <c r="J53" s="4"/>
      <c r="K53" s="4">
        <f t="shared" si="32"/>
        <v>32.136842830592698</v>
      </c>
      <c r="L53" s="4">
        <f t="shared" si="33"/>
        <v>-98.605761634901768</v>
      </c>
      <c r="M53" s="4">
        <f t="shared" si="34"/>
        <v>1032.7766671182173</v>
      </c>
      <c r="N53" s="4">
        <f t="shared" si="35"/>
        <v>9723.096227599066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>
        <v>226.45</v>
      </c>
      <c r="C54" s="25">
        <v>118</v>
      </c>
      <c r="D54" s="4">
        <f t="shared" si="27"/>
        <v>-43.550000000000011</v>
      </c>
      <c r="E54" s="4">
        <f t="shared" si="28"/>
        <v>-44</v>
      </c>
      <c r="F54" s="4">
        <f t="shared" si="29"/>
        <v>0.74999999999998102</v>
      </c>
      <c r="G54" s="4">
        <f t="shared" si="30"/>
        <v>85.947774446123205</v>
      </c>
      <c r="H54" s="4">
        <f t="shared" si="31"/>
        <v>-80.851592858510401</v>
      </c>
      <c r="I54" s="4"/>
      <c r="J54" s="4"/>
      <c r="K54" s="4">
        <f t="shared" si="32"/>
        <v>35.010879790911659</v>
      </c>
      <c r="L54" s="4">
        <f t="shared" si="33"/>
        <v>-95.655480169864461</v>
      </c>
      <c r="M54" s="4">
        <f t="shared" si="34"/>
        <v>1225.7617037336663</v>
      </c>
      <c r="N54" s="4">
        <f t="shared" si="35"/>
        <v>9149.9708865273333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>
        <v>226.5</v>
      </c>
      <c r="C55" s="25">
        <v>120</v>
      </c>
      <c r="D55" s="4">
        <f t="shared" si="27"/>
        <v>-43.5</v>
      </c>
      <c r="E55" s="4">
        <f t="shared" si="28"/>
        <v>-44</v>
      </c>
      <c r="F55" s="4">
        <f t="shared" si="29"/>
        <v>0.83333333333333337</v>
      </c>
      <c r="G55" s="4">
        <f t="shared" si="30"/>
        <v>87.524010887638241</v>
      </c>
      <c r="H55" s="4">
        <f t="shared" si="31"/>
        <v>-82.094747201879997</v>
      </c>
      <c r="I55" s="4"/>
      <c r="J55" s="4"/>
      <c r="K55" s="4">
        <f t="shared" si="32"/>
        <v>36.587116232426695</v>
      </c>
      <c r="L55" s="4">
        <f t="shared" si="33"/>
        <v>-96.898634513234043</v>
      </c>
      <c r="M55" s="4">
        <f t="shared" si="34"/>
        <v>1338.6170742051008</v>
      </c>
      <c r="N55" s="4">
        <f t="shared" si="35"/>
        <v>9389.3453705293123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>
        <v>226.45</v>
      </c>
      <c r="C56" s="25">
        <v>120</v>
      </c>
      <c r="D56" s="4">
        <f t="shared" si="27"/>
        <v>-43.550000000000011</v>
      </c>
      <c r="E56" s="4">
        <f t="shared" si="28"/>
        <v>-44</v>
      </c>
      <c r="F56" s="4">
        <f t="shared" si="29"/>
        <v>0.74999999999998102</v>
      </c>
      <c r="G56" s="4">
        <f t="shared" si="30"/>
        <v>87.404516385888002</v>
      </c>
      <c r="H56" s="4">
        <f t="shared" si="31"/>
        <v>-82.221958839163122</v>
      </c>
      <c r="I56" s="4"/>
      <c r="J56" s="4"/>
      <c r="K56" s="4">
        <f t="shared" si="32"/>
        <v>36.467621730676456</v>
      </c>
      <c r="L56" s="4">
        <f t="shared" si="33"/>
        <v>-97.025846150517168</v>
      </c>
      <c r="M56" s="4">
        <f t="shared" si="34"/>
        <v>1329.8874346917057</v>
      </c>
      <c r="N56" s="4">
        <f t="shared" si="35"/>
        <v>9414.0148212238273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>
        <v>231.05</v>
      </c>
      <c r="C57" s="25">
        <v>124</v>
      </c>
      <c r="D57" s="4">
        <f t="shared" si="27"/>
        <v>-38.949999999999989</v>
      </c>
      <c r="E57" s="4">
        <f t="shared" si="28"/>
        <v>-39</v>
      </c>
      <c r="F57" s="4">
        <f t="shared" si="29"/>
        <v>8.3333333333352286E-2</v>
      </c>
      <c r="G57" s="4">
        <f t="shared" si="30"/>
        <v>96.479495620665972</v>
      </c>
      <c r="H57" s="4">
        <f t="shared" si="31"/>
        <v>-77.895487191376461</v>
      </c>
      <c r="I57" s="4"/>
      <c r="J57" s="4"/>
      <c r="K57" s="4">
        <f t="shared" si="32"/>
        <v>45.542600965454426</v>
      </c>
      <c r="L57" s="4">
        <f t="shared" si="33"/>
        <v>-92.699374502730507</v>
      </c>
      <c r="M57" s="4">
        <f t="shared" si="34"/>
        <v>2074.1285026986102</v>
      </c>
      <c r="N57" s="4">
        <f t="shared" si="35"/>
        <v>8593.1740331974834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>
        <v>231.35</v>
      </c>
      <c r="C58" s="25">
        <v>124</v>
      </c>
      <c r="D58" s="4">
        <f t="shared" si="27"/>
        <v>-38.650000000000006</v>
      </c>
      <c r="E58" s="4">
        <f t="shared" si="28"/>
        <v>-39</v>
      </c>
      <c r="F58" s="4">
        <f t="shared" si="29"/>
        <v>0.58333333333332382</v>
      </c>
      <c r="G58" s="4">
        <f t="shared" si="30"/>
        <v>97.155579711241089</v>
      </c>
      <c r="H58" s="4">
        <f t="shared" si="31"/>
        <v>-77.050589426510399</v>
      </c>
      <c r="I58" s="4"/>
      <c r="J58" s="4"/>
      <c r="K58" s="4">
        <f t="shared" si="32"/>
        <v>46.218685056029543</v>
      </c>
      <c r="L58" s="4">
        <f t="shared" si="33"/>
        <v>-91.854476737864445</v>
      </c>
      <c r="M58" s="4">
        <f t="shared" si="34"/>
        <v>2136.1668483084486</v>
      </c>
      <c r="N58" s="4">
        <f t="shared" si="35"/>
        <v>8437.2448967868804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>
        <v>227.4</v>
      </c>
      <c r="C59" s="25">
        <v>126</v>
      </c>
      <c r="D59" s="4">
        <f t="shared" si="18"/>
        <v>-42.599999999999994</v>
      </c>
      <c r="E59" s="4">
        <f t="shared" si="19"/>
        <v>-43</v>
      </c>
      <c r="F59" s="4">
        <f t="shared" si="20"/>
        <v>0.66666666666667618</v>
      </c>
      <c r="G59" s="4">
        <f t="shared" si="21"/>
        <v>93.144167804847115</v>
      </c>
      <c r="H59" s="4">
        <f t="shared" si="22"/>
        <v>-84.853780139381428</v>
      </c>
      <c r="I59" s="4"/>
      <c r="J59" s="4"/>
      <c r="K59" s="4">
        <f t="shared" si="23"/>
        <v>42.207273149635569</v>
      </c>
      <c r="L59" s="4">
        <f t="shared" si="24"/>
        <v>-99.657667450735488</v>
      </c>
      <c r="M59" s="4">
        <f t="shared" si="25"/>
        <v>1781.4539067279477</v>
      </c>
      <c r="N59" s="4">
        <f t="shared" si="26"/>
        <v>9931.6506817213831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>
        <v>227.15</v>
      </c>
      <c r="C60" s="25">
        <v>126</v>
      </c>
      <c r="D60" s="4">
        <f t="shared" si="18"/>
        <v>-42.849999999999994</v>
      </c>
      <c r="E60" s="4">
        <f t="shared" si="19"/>
        <v>-43</v>
      </c>
      <c r="F60" s="4">
        <f t="shared" si="20"/>
        <v>0.25000000000000944</v>
      </c>
      <c r="G60" s="4">
        <f t="shared" si="21"/>
        <v>92.524636188896395</v>
      </c>
      <c r="H60" s="4">
        <f t="shared" si="22"/>
        <v>-85.528893937150656</v>
      </c>
      <c r="I60" s="4"/>
      <c r="J60" s="4"/>
      <c r="K60" s="4">
        <f t="shared" si="23"/>
        <v>41.587741533684849</v>
      </c>
      <c r="L60" s="4">
        <f t="shared" si="24"/>
        <v>-100.33278124850472</v>
      </c>
      <c r="M60" s="4">
        <f t="shared" si="25"/>
        <v>1729.5402458725757</v>
      </c>
      <c r="N60" s="4">
        <f t="shared" si="26"/>
        <v>10066.6669930603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5">
        <v>228.3</v>
      </c>
      <c r="C61" s="26">
        <v>128</v>
      </c>
      <c r="D61" s="7">
        <f t="shared" si="18"/>
        <v>-41.699999999999989</v>
      </c>
      <c r="E61" s="7">
        <f t="shared" si="19"/>
        <v>-42</v>
      </c>
      <c r="F61" s="7">
        <f t="shared" si="20"/>
        <v>0.50000000000001887</v>
      </c>
      <c r="G61" s="7">
        <f t="shared" si="21"/>
        <v>95.866332260992309</v>
      </c>
      <c r="H61" s="7">
        <f t="shared" si="22"/>
        <v>-84.815366171614372</v>
      </c>
      <c r="I61" s="7"/>
      <c r="J61" s="7"/>
      <c r="K61" s="7">
        <f t="shared" si="23"/>
        <v>44.929437605780763</v>
      </c>
      <c r="L61" s="7">
        <f t="shared" si="24"/>
        <v>-99.619253482968418</v>
      </c>
      <c r="M61" s="7">
        <f t="shared" si="25"/>
        <v>2018.6543635717467</v>
      </c>
      <c r="N61" s="7">
        <f t="shared" si="26"/>
        <v>9923.9956645039147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B1:W1"/>
    <mergeCell ref="I2:J3"/>
    <mergeCell ref="B5:B6"/>
    <mergeCell ref="A10:W10"/>
    <mergeCell ref="A36:W36"/>
  </mergeCell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W62"/>
  <sheetViews>
    <sheetView topLeftCell="A151" zoomScale="70" zoomScaleNormal="70" workbookViewId="0">
      <selection activeCell="I4" sqref="I4"/>
    </sheetView>
  </sheetViews>
  <sheetFormatPr defaultRowHeight="15"/>
  <cols>
    <col min="1" max="1" width="13.5703125" customWidth="1"/>
    <col min="2" max="3" width="26.85546875" customWidth="1"/>
    <col min="4" max="4" width="19.5703125" customWidth="1"/>
    <col min="5" max="5" width="10.28515625" bestFit="1" customWidth="1"/>
    <col min="6" max="6" width="15.7109375" customWidth="1"/>
    <col min="7" max="7" width="14.28515625" customWidth="1"/>
    <col min="17" max="18" width="12" bestFit="1" customWidth="1"/>
    <col min="19" max="19" width="18" bestFit="1" customWidth="1"/>
    <col min="20" max="20" width="17.7109375" bestFit="1" customWidth="1"/>
  </cols>
  <sheetData>
    <row r="1" spans="1:23" ht="46.5" thickBot="1">
      <c r="B1" s="106" t="s">
        <v>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26.25" customHeight="1">
      <c r="B2" s="20" t="s">
        <v>24</v>
      </c>
      <c r="C2" s="20" t="s">
        <v>40</v>
      </c>
      <c r="D2" s="20" t="s">
        <v>26</v>
      </c>
      <c r="E2" s="20" t="s">
        <v>52</v>
      </c>
      <c r="F2" s="20" t="s">
        <v>53</v>
      </c>
      <c r="G2" s="14"/>
      <c r="H2" s="14"/>
      <c r="I2" s="107" t="s">
        <v>23</v>
      </c>
      <c r="J2" s="108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3" ht="18.75">
      <c r="B3" s="20" t="s">
        <v>25</v>
      </c>
      <c r="C3" s="20"/>
      <c r="D3" s="20" t="s">
        <v>27</v>
      </c>
      <c r="E3" s="20" t="s">
        <v>29</v>
      </c>
      <c r="F3" s="20" t="s">
        <v>29</v>
      </c>
      <c r="I3" s="109"/>
      <c r="J3" s="110"/>
    </row>
    <row r="4" spans="1:23" ht="18.75">
      <c r="B4" s="21" t="s">
        <v>47</v>
      </c>
      <c r="C4" s="21">
        <v>270</v>
      </c>
      <c r="D4" s="21"/>
      <c r="E4" s="21"/>
      <c r="F4" s="21"/>
      <c r="I4" s="16">
        <f>IF(E6,((I12+I38)/2),I12)</f>
        <v>0</v>
      </c>
      <c r="J4" s="117">
        <f>IF(E6,((J12+J38)/2),J12)</f>
        <v>0</v>
      </c>
    </row>
    <row r="5" spans="1:23" ht="18.75" customHeight="1" thickBot="1">
      <c r="B5" s="111" t="s">
        <v>20</v>
      </c>
      <c r="C5" s="22" t="s">
        <v>48</v>
      </c>
      <c r="D5" s="22" t="s">
        <v>49</v>
      </c>
      <c r="E5" s="22" t="s">
        <v>50</v>
      </c>
      <c r="F5" s="22"/>
      <c r="I5" s="18" t="s">
        <v>36</v>
      </c>
      <c r="J5" s="19" t="s">
        <v>21</v>
      </c>
    </row>
    <row r="6" spans="1:23">
      <c r="B6" s="111"/>
      <c r="C6" s="22">
        <v>48</v>
      </c>
      <c r="D6" s="22">
        <v>24</v>
      </c>
      <c r="E6" s="22">
        <v>24</v>
      </c>
      <c r="F6" s="22"/>
    </row>
    <row r="9" spans="1:23" ht="15.75" thickBot="1"/>
    <row r="10" spans="1:23" ht="19.5" thickBot="1">
      <c r="A10" s="112" t="s">
        <v>45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4"/>
    </row>
    <row r="11" spans="1:23" ht="35.25" customHeight="1">
      <c r="A11" s="1" t="s">
        <v>2</v>
      </c>
      <c r="B11" s="23" t="s">
        <v>0</v>
      </c>
      <c r="C11" s="23" t="s">
        <v>1</v>
      </c>
      <c r="D11" s="11" t="s">
        <v>51</v>
      </c>
      <c r="E11" s="2" t="s">
        <v>4</v>
      </c>
      <c r="F11" s="11" t="s">
        <v>5</v>
      </c>
      <c r="G11" s="2" t="s">
        <v>3</v>
      </c>
      <c r="H11" s="2" t="s">
        <v>21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12" t="s">
        <v>17</v>
      </c>
      <c r="U11" s="12" t="s">
        <v>18</v>
      </c>
      <c r="V11" s="13" t="s">
        <v>19</v>
      </c>
      <c r="W11" s="9" t="s">
        <v>22</v>
      </c>
    </row>
    <row r="12" spans="1:23">
      <c r="A12" s="3">
        <v>1</v>
      </c>
      <c r="B12" s="25"/>
      <c r="C12" s="25"/>
      <c r="D12" s="4" t="str">
        <f>IF(B12,B12-$C$4," ")</f>
        <v xml:space="preserve"> </v>
      </c>
      <c r="E12" s="4" t="str">
        <f>IF(B12,INT(D12)," ")</f>
        <v xml:space="preserve"> </v>
      </c>
      <c r="F12" s="4" t="str">
        <f>IF(B12,((D12-E12)/60*100)," ")</f>
        <v xml:space="preserve"> </v>
      </c>
      <c r="G12" s="4" t="str">
        <f>IF(B12,C12*COS(PI()/180*(E12+F12))," ")</f>
        <v xml:space="preserve"> </v>
      </c>
      <c r="H12" s="4" t="str">
        <f>IF(B12,(C12*SIN(PI()/180*(E12+F12)))," ")</f>
        <v xml:space="preserve"> </v>
      </c>
      <c r="I12" s="4">
        <f>SUM(G12:G35)/D6</f>
        <v>0</v>
      </c>
      <c r="J12" s="4">
        <f>SUM(H12:H35)/D6</f>
        <v>0</v>
      </c>
      <c r="K12" s="4" t="str">
        <f>IF(B12,SUM(G12,-$I$12)," ")</f>
        <v xml:space="preserve"> </v>
      </c>
      <c r="L12" s="4" t="str">
        <f>IF(B12,SUM(H12,-$J$12)," ")</f>
        <v xml:space="preserve"> </v>
      </c>
      <c r="M12" s="4" t="str">
        <f>IF(B12,POWER(K12,2)," ")</f>
        <v xml:space="preserve"> </v>
      </c>
      <c r="N12" s="4" t="str">
        <f>IF(B12,POWER(L12,2)," ")</f>
        <v xml:space="preserve"> </v>
      </c>
      <c r="O12" s="4">
        <f>D6-1</f>
        <v>23</v>
      </c>
      <c r="P12" s="4">
        <f>SUM(M12:M35)</f>
        <v>0</v>
      </c>
      <c r="Q12" s="4">
        <f>SUM(N12:N35)</f>
        <v>0</v>
      </c>
      <c r="R12" s="4">
        <f>PRODUCT(P12,1/$O$12)</f>
        <v>0</v>
      </c>
      <c r="S12" s="4">
        <f>PRODUCT(Q12,1/$O$12)</f>
        <v>0</v>
      </c>
      <c r="T12" s="4">
        <f>SQRT(R12)</f>
        <v>0</v>
      </c>
      <c r="U12" s="4">
        <f>SQRT(S12)</f>
        <v>0</v>
      </c>
      <c r="V12" s="4">
        <f>PRODUCT(T12:U12)</f>
        <v>0</v>
      </c>
      <c r="W12" s="10">
        <f>SQRT(V12)</f>
        <v>0</v>
      </c>
    </row>
    <row r="13" spans="1:23">
      <c r="A13" s="3">
        <v>2</v>
      </c>
      <c r="B13" s="25"/>
      <c r="C13" s="25"/>
      <c r="D13" s="4" t="str">
        <f t="shared" ref="D13:D35" si="0">IF(B13,B13-$C$4," ")</f>
        <v xml:space="preserve"> </v>
      </c>
      <c r="E13" s="4" t="str">
        <f t="shared" ref="E13:E35" si="1">IF(B13,INT(D13)," ")</f>
        <v xml:space="preserve"> </v>
      </c>
      <c r="F13" s="4" t="str">
        <f t="shared" ref="F13:F35" si="2">IF(B13,((D13-E13)/60*100)," ")</f>
        <v xml:space="preserve"> </v>
      </c>
      <c r="G13" s="4" t="str">
        <f t="shared" ref="G13:G35" si="3">IF(B13,C13*COS(PI()/180*(E13+F13))," ")</f>
        <v xml:space="preserve"> </v>
      </c>
      <c r="H13" s="4" t="str">
        <f t="shared" ref="H13:H35" si="4">IF(B13,(C13*SIN(PI()/180*(E13+F13)))," ")</f>
        <v xml:space="preserve"> </v>
      </c>
      <c r="I13" s="4"/>
      <c r="J13" s="4"/>
      <c r="K13" s="4" t="str">
        <f t="shared" ref="K13:K35" si="5">IF(B13,SUM(G13,-$I$12)," ")</f>
        <v xml:space="preserve"> </v>
      </c>
      <c r="L13" s="4" t="str">
        <f t="shared" ref="L13:L35" si="6">IF(B13,SUM(H13,-$J$12)," ")</f>
        <v xml:space="preserve"> </v>
      </c>
      <c r="M13" s="4" t="str">
        <f t="shared" ref="M13:M35" si="7">IF(B13,POWER(K13,2)," ")</f>
        <v xml:space="preserve"> </v>
      </c>
      <c r="N13" s="4" t="str">
        <f t="shared" ref="N13:N34" si="8">IF(B13,POWER(L13,2)," ")</f>
        <v xml:space="preserve"> </v>
      </c>
      <c r="O13" s="4"/>
      <c r="P13" s="4"/>
      <c r="Q13" s="4"/>
      <c r="R13" s="4"/>
      <c r="S13" s="4"/>
      <c r="T13" s="4"/>
      <c r="U13" s="4"/>
      <c r="V13" s="4"/>
      <c r="W13" s="5"/>
    </row>
    <row r="14" spans="1:23">
      <c r="A14" s="3">
        <v>3</v>
      </c>
      <c r="B14" s="25"/>
      <c r="C14" s="25"/>
      <c r="D14" s="4" t="str">
        <f t="shared" si="0"/>
        <v xml:space="preserve"> </v>
      </c>
      <c r="E14" s="4" t="str">
        <f t="shared" si="1"/>
        <v xml:space="preserve"> </v>
      </c>
      <c r="F14" s="4" t="str">
        <f t="shared" si="2"/>
        <v xml:space="preserve"> </v>
      </c>
      <c r="G14" s="4" t="str">
        <f t="shared" si="3"/>
        <v xml:space="preserve"> </v>
      </c>
      <c r="H14" s="4" t="str">
        <f t="shared" si="4"/>
        <v xml:space="preserve"> </v>
      </c>
      <c r="I14" s="4"/>
      <c r="J14" s="4"/>
      <c r="K14" s="4" t="str">
        <f t="shared" si="5"/>
        <v xml:space="preserve"> </v>
      </c>
      <c r="L14" s="4" t="str">
        <f t="shared" si="6"/>
        <v xml:space="preserve"> </v>
      </c>
      <c r="M14" s="4" t="str">
        <f t="shared" si="7"/>
        <v xml:space="preserve"> </v>
      </c>
      <c r="N14" s="4" t="str">
        <f t="shared" si="8"/>
        <v xml:space="preserve"> </v>
      </c>
      <c r="O14" s="4"/>
      <c r="P14" s="4"/>
      <c r="Q14" s="4"/>
      <c r="R14" s="4"/>
      <c r="S14" s="4"/>
      <c r="T14" s="4"/>
      <c r="U14" s="4"/>
      <c r="V14" s="4"/>
      <c r="W14" s="5"/>
    </row>
    <row r="15" spans="1:23">
      <c r="A15" s="3">
        <v>4</v>
      </c>
      <c r="B15" s="25"/>
      <c r="C15" s="25"/>
      <c r="D15" s="4" t="str">
        <f t="shared" si="0"/>
        <v xml:space="preserve"> </v>
      </c>
      <c r="E15" s="4" t="str">
        <f t="shared" si="1"/>
        <v xml:space="preserve"> </v>
      </c>
      <c r="F15" s="4" t="str">
        <f t="shared" si="2"/>
        <v xml:space="preserve"> </v>
      </c>
      <c r="G15" s="4" t="str">
        <f t="shared" si="3"/>
        <v xml:space="preserve"> </v>
      </c>
      <c r="H15" s="4" t="str">
        <f t="shared" si="4"/>
        <v xml:space="preserve"> </v>
      </c>
      <c r="I15" s="4"/>
      <c r="J15" s="4"/>
      <c r="K15" s="4" t="str">
        <f t="shared" si="5"/>
        <v xml:space="preserve"> </v>
      </c>
      <c r="L15" s="4" t="str">
        <f t="shared" si="6"/>
        <v xml:space="preserve"> </v>
      </c>
      <c r="M15" s="4" t="str">
        <f t="shared" si="7"/>
        <v xml:space="preserve"> </v>
      </c>
      <c r="N15" s="4" t="str">
        <f t="shared" si="8"/>
        <v xml:space="preserve"> </v>
      </c>
      <c r="O15" s="4"/>
      <c r="P15" s="4"/>
      <c r="Q15" s="4"/>
      <c r="R15" s="4"/>
      <c r="S15" s="4"/>
      <c r="T15" s="4"/>
      <c r="U15" s="4"/>
      <c r="V15" s="4"/>
      <c r="W15" s="5"/>
    </row>
    <row r="16" spans="1:23">
      <c r="A16" s="3">
        <v>5</v>
      </c>
      <c r="B16" s="25"/>
      <c r="C16" s="25"/>
      <c r="D16" s="4" t="str">
        <f t="shared" si="0"/>
        <v xml:space="preserve"> </v>
      </c>
      <c r="E16" s="4" t="str">
        <f t="shared" si="1"/>
        <v xml:space="preserve"> </v>
      </c>
      <c r="F16" s="4" t="str">
        <f t="shared" si="2"/>
        <v xml:space="preserve"> </v>
      </c>
      <c r="G16" s="4" t="str">
        <f t="shared" si="3"/>
        <v xml:space="preserve"> </v>
      </c>
      <c r="H16" s="4" t="str">
        <f t="shared" si="4"/>
        <v xml:space="preserve"> </v>
      </c>
      <c r="I16" s="4"/>
      <c r="J16" s="4"/>
      <c r="K16" s="4" t="str">
        <f t="shared" si="5"/>
        <v xml:space="preserve"> </v>
      </c>
      <c r="L16" s="4" t="str">
        <f t="shared" si="6"/>
        <v xml:space="preserve"> </v>
      </c>
      <c r="M16" s="4" t="str">
        <f t="shared" si="7"/>
        <v xml:space="preserve"> </v>
      </c>
      <c r="N16" s="4" t="str">
        <f t="shared" si="8"/>
        <v xml:space="preserve"> </v>
      </c>
      <c r="O16" s="4"/>
      <c r="P16" s="4"/>
      <c r="Q16" s="4"/>
      <c r="R16" s="4"/>
      <c r="S16" s="4"/>
      <c r="T16" s="4"/>
      <c r="U16" s="4"/>
      <c r="V16" s="4"/>
      <c r="W16" s="5"/>
    </row>
    <row r="17" spans="1:23">
      <c r="A17" s="3">
        <v>6</v>
      </c>
      <c r="B17" s="25"/>
      <c r="C17" s="25"/>
      <c r="D17" s="4" t="str">
        <f t="shared" si="0"/>
        <v xml:space="preserve"> </v>
      </c>
      <c r="E17" s="4" t="str">
        <f t="shared" si="1"/>
        <v xml:space="preserve"> </v>
      </c>
      <c r="F17" s="4" t="str">
        <f t="shared" si="2"/>
        <v xml:space="preserve"> </v>
      </c>
      <c r="G17" s="4" t="str">
        <f t="shared" si="3"/>
        <v xml:space="preserve"> </v>
      </c>
      <c r="H17" s="4" t="str">
        <f t="shared" si="4"/>
        <v xml:space="preserve"> </v>
      </c>
      <c r="I17" s="4"/>
      <c r="J17" s="4"/>
      <c r="K17" s="4" t="str">
        <f t="shared" si="5"/>
        <v xml:space="preserve"> </v>
      </c>
      <c r="L17" s="4" t="str">
        <f t="shared" si="6"/>
        <v xml:space="preserve"> </v>
      </c>
      <c r="M17" s="4" t="str">
        <f t="shared" si="7"/>
        <v xml:space="preserve"> </v>
      </c>
      <c r="N17" s="4" t="str">
        <f t="shared" si="8"/>
        <v xml:space="preserve"> </v>
      </c>
      <c r="O17" s="4"/>
      <c r="P17" s="4"/>
      <c r="Q17" s="4"/>
      <c r="R17" s="4"/>
      <c r="S17" s="4"/>
      <c r="T17" s="4"/>
      <c r="U17" s="4"/>
      <c r="V17" s="4"/>
      <c r="W17" s="5"/>
    </row>
    <row r="18" spans="1:23">
      <c r="A18" s="3">
        <v>7</v>
      </c>
      <c r="B18" s="25"/>
      <c r="C18" s="25"/>
      <c r="D18" s="4" t="str">
        <f t="shared" si="0"/>
        <v xml:space="preserve"> </v>
      </c>
      <c r="E18" s="4" t="str">
        <f t="shared" si="1"/>
        <v xml:space="preserve"> </v>
      </c>
      <c r="F18" s="4" t="str">
        <f t="shared" si="2"/>
        <v xml:space="preserve"> </v>
      </c>
      <c r="G18" s="4" t="str">
        <f t="shared" si="3"/>
        <v xml:space="preserve"> </v>
      </c>
      <c r="H18" s="4" t="str">
        <f t="shared" si="4"/>
        <v xml:space="preserve"> </v>
      </c>
      <c r="I18" s="4"/>
      <c r="J18" s="4"/>
      <c r="K18" s="4" t="str">
        <f t="shared" si="5"/>
        <v xml:space="preserve"> </v>
      </c>
      <c r="L18" s="4" t="str">
        <f t="shared" si="6"/>
        <v xml:space="preserve"> </v>
      </c>
      <c r="M18" s="4" t="str">
        <f t="shared" si="7"/>
        <v xml:space="preserve"> </v>
      </c>
      <c r="N18" s="4" t="str">
        <f t="shared" si="8"/>
        <v xml:space="preserve"> </v>
      </c>
      <c r="O18" s="4"/>
      <c r="P18" s="4"/>
      <c r="Q18" s="4"/>
      <c r="R18" s="4"/>
      <c r="S18" s="4"/>
      <c r="T18" s="4"/>
      <c r="U18" s="4"/>
      <c r="V18" s="4"/>
      <c r="W18" s="5"/>
    </row>
    <row r="19" spans="1:23">
      <c r="A19" s="3">
        <v>8</v>
      </c>
      <c r="B19" s="25"/>
      <c r="C19" s="25"/>
      <c r="D19" s="4" t="str">
        <f t="shared" si="0"/>
        <v xml:space="preserve"> </v>
      </c>
      <c r="E19" s="4" t="str">
        <f t="shared" si="1"/>
        <v xml:space="preserve"> </v>
      </c>
      <c r="F19" s="4" t="str">
        <f t="shared" si="2"/>
        <v xml:space="preserve"> </v>
      </c>
      <c r="G19" s="4" t="str">
        <f t="shared" si="3"/>
        <v xml:space="preserve"> </v>
      </c>
      <c r="H19" s="4" t="str">
        <f t="shared" si="4"/>
        <v xml:space="preserve"> </v>
      </c>
      <c r="I19" s="4"/>
      <c r="J19" s="4"/>
      <c r="K19" s="4" t="str">
        <f t="shared" si="5"/>
        <v xml:space="preserve"> </v>
      </c>
      <c r="L19" s="4" t="str">
        <f t="shared" si="6"/>
        <v xml:space="preserve"> </v>
      </c>
      <c r="M19" s="4" t="str">
        <f t="shared" si="7"/>
        <v xml:space="preserve"> </v>
      </c>
      <c r="N19" s="4" t="str">
        <f t="shared" si="8"/>
        <v xml:space="preserve"> </v>
      </c>
      <c r="O19" s="4"/>
      <c r="P19" s="4"/>
      <c r="Q19" s="4"/>
      <c r="R19" s="4"/>
      <c r="S19" s="4"/>
      <c r="T19" s="4"/>
      <c r="U19" s="4"/>
      <c r="V19" s="4"/>
      <c r="W19" s="5"/>
    </row>
    <row r="20" spans="1:23">
      <c r="A20" s="3">
        <v>9</v>
      </c>
      <c r="B20" s="25"/>
      <c r="C20" s="25"/>
      <c r="D20" s="4" t="str">
        <f t="shared" si="0"/>
        <v xml:space="preserve"> </v>
      </c>
      <c r="E20" s="4" t="str">
        <f t="shared" si="1"/>
        <v xml:space="preserve"> </v>
      </c>
      <c r="F20" s="4" t="str">
        <f t="shared" si="2"/>
        <v xml:space="preserve"> </v>
      </c>
      <c r="G20" s="4" t="str">
        <f t="shared" si="3"/>
        <v xml:space="preserve"> </v>
      </c>
      <c r="H20" s="4" t="str">
        <f t="shared" si="4"/>
        <v xml:space="preserve"> </v>
      </c>
      <c r="I20" s="4"/>
      <c r="J20" s="4"/>
      <c r="K20" s="4" t="str">
        <f t="shared" si="5"/>
        <v xml:space="preserve"> </v>
      </c>
      <c r="L20" s="4" t="str">
        <f t="shared" si="6"/>
        <v xml:space="preserve"> </v>
      </c>
      <c r="M20" s="4" t="str">
        <f t="shared" si="7"/>
        <v xml:space="preserve"> </v>
      </c>
      <c r="N20" s="4" t="str">
        <f t="shared" si="8"/>
        <v xml:space="preserve"> </v>
      </c>
      <c r="O20" s="4"/>
      <c r="P20" s="4"/>
      <c r="Q20" s="4"/>
      <c r="R20" s="4"/>
      <c r="S20" s="4"/>
      <c r="T20" s="4"/>
      <c r="U20" s="4"/>
      <c r="V20" s="4"/>
      <c r="W20" s="5"/>
    </row>
    <row r="21" spans="1:23">
      <c r="A21" s="3">
        <v>10</v>
      </c>
      <c r="B21" s="25"/>
      <c r="C21" s="25"/>
      <c r="D21" s="4" t="str">
        <f t="shared" si="0"/>
        <v xml:space="preserve"> </v>
      </c>
      <c r="E21" s="4" t="str">
        <f t="shared" si="1"/>
        <v xml:space="preserve"> </v>
      </c>
      <c r="F21" s="4" t="str">
        <f t="shared" si="2"/>
        <v xml:space="preserve"> </v>
      </c>
      <c r="G21" s="4" t="str">
        <f t="shared" si="3"/>
        <v xml:space="preserve"> </v>
      </c>
      <c r="H21" s="4" t="str">
        <f t="shared" si="4"/>
        <v xml:space="preserve"> </v>
      </c>
      <c r="I21" s="4"/>
      <c r="J21" s="4"/>
      <c r="K21" s="4" t="str">
        <f t="shared" si="5"/>
        <v xml:space="preserve"> </v>
      </c>
      <c r="L21" s="4" t="str">
        <f t="shared" si="6"/>
        <v xml:space="preserve"> </v>
      </c>
      <c r="M21" s="4" t="str">
        <f t="shared" si="7"/>
        <v xml:space="preserve"> </v>
      </c>
      <c r="N21" s="4" t="str">
        <f t="shared" si="8"/>
        <v xml:space="preserve"> </v>
      </c>
      <c r="O21" s="4"/>
      <c r="P21" s="4"/>
      <c r="Q21" s="4"/>
      <c r="R21" s="4"/>
      <c r="S21" s="4"/>
      <c r="T21" s="4"/>
      <c r="U21" s="4"/>
      <c r="V21" s="4"/>
      <c r="W21" s="5"/>
    </row>
    <row r="22" spans="1:23">
      <c r="A22" s="3">
        <v>11</v>
      </c>
      <c r="B22" s="25"/>
      <c r="C22" s="25"/>
      <c r="D22" s="4" t="str">
        <f t="shared" si="0"/>
        <v xml:space="preserve"> </v>
      </c>
      <c r="E22" s="4" t="str">
        <f t="shared" si="1"/>
        <v xml:space="preserve"> </v>
      </c>
      <c r="F22" s="4" t="str">
        <f t="shared" si="2"/>
        <v xml:space="preserve"> </v>
      </c>
      <c r="G22" s="4" t="str">
        <f t="shared" si="3"/>
        <v xml:space="preserve"> </v>
      </c>
      <c r="H22" s="4" t="str">
        <f t="shared" si="4"/>
        <v xml:space="preserve"> </v>
      </c>
      <c r="I22" s="4"/>
      <c r="J22" s="4"/>
      <c r="K22" s="4" t="str">
        <f t="shared" si="5"/>
        <v xml:space="preserve"> </v>
      </c>
      <c r="L22" s="4" t="str">
        <f t="shared" si="6"/>
        <v xml:space="preserve"> </v>
      </c>
      <c r="M22" s="4" t="str">
        <f t="shared" si="7"/>
        <v xml:space="preserve"> </v>
      </c>
      <c r="N22" s="4" t="str">
        <f t="shared" si="8"/>
        <v xml:space="preserve"> </v>
      </c>
      <c r="O22" s="4"/>
      <c r="P22" s="4"/>
      <c r="Q22" s="4"/>
      <c r="R22" s="4"/>
      <c r="S22" s="4"/>
      <c r="T22" s="4"/>
      <c r="U22" s="4"/>
      <c r="V22" s="4"/>
      <c r="W22" s="5"/>
    </row>
    <row r="23" spans="1:23">
      <c r="A23" s="3">
        <v>12</v>
      </c>
      <c r="B23" s="25"/>
      <c r="C23" s="25"/>
      <c r="D23" s="4" t="str">
        <f t="shared" si="0"/>
        <v xml:space="preserve"> </v>
      </c>
      <c r="E23" s="4" t="str">
        <f t="shared" si="1"/>
        <v xml:space="preserve"> </v>
      </c>
      <c r="F23" s="4" t="str">
        <f t="shared" si="2"/>
        <v xml:space="preserve"> </v>
      </c>
      <c r="G23" s="4" t="str">
        <f t="shared" si="3"/>
        <v xml:space="preserve"> </v>
      </c>
      <c r="H23" s="4" t="str">
        <f t="shared" si="4"/>
        <v xml:space="preserve"> </v>
      </c>
      <c r="I23" s="4"/>
      <c r="J23" s="4"/>
      <c r="K23" s="4" t="str">
        <f t="shared" si="5"/>
        <v xml:space="preserve"> </v>
      </c>
      <c r="L23" s="4" t="str">
        <f t="shared" si="6"/>
        <v xml:space="preserve"> </v>
      </c>
      <c r="M23" s="4" t="str">
        <f t="shared" si="7"/>
        <v xml:space="preserve"> </v>
      </c>
      <c r="N23" s="4" t="str">
        <f t="shared" si="8"/>
        <v xml:space="preserve"> </v>
      </c>
      <c r="O23" s="4"/>
      <c r="P23" s="4"/>
      <c r="Q23" s="4"/>
      <c r="R23" s="4"/>
      <c r="S23" s="4"/>
      <c r="T23" s="4"/>
      <c r="U23" s="4"/>
      <c r="V23" s="4"/>
      <c r="W23" s="5"/>
    </row>
    <row r="24" spans="1:23">
      <c r="A24" s="3">
        <v>13</v>
      </c>
      <c r="B24" s="25"/>
      <c r="C24" s="25"/>
      <c r="D24" s="4" t="str">
        <f t="shared" si="0"/>
        <v xml:space="preserve"> </v>
      </c>
      <c r="E24" s="4" t="str">
        <f t="shared" si="1"/>
        <v xml:space="preserve"> </v>
      </c>
      <c r="F24" s="4" t="str">
        <f t="shared" si="2"/>
        <v xml:space="preserve"> </v>
      </c>
      <c r="G24" s="4" t="str">
        <f t="shared" si="3"/>
        <v xml:space="preserve"> </v>
      </c>
      <c r="H24" s="4" t="str">
        <f t="shared" si="4"/>
        <v xml:space="preserve"> </v>
      </c>
      <c r="I24" s="4"/>
      <c r="J24" s="4"/>
      <c r="K24" s="4" t="str">
        <f t="shared" si="5"/>
        <v xml:space="preserve"> </v>
      </c>
      <c r="L24" s="4" t="str">
        <f t="shared" si="6"/>
        <v xml:space="preserve"> </v>
      </c>
      <c r="M24" s="4" t="str">
        <f t="shared" si="7"/>
        <v xml:space="preserve"> </v>
      </c>
      <c r="N24" s="4" t="str">
        <f t="shared" si="8"/>
        <v xml:space="preserve"> </v>
      </c>
      <c r="O24" s="4"/>
      <c r="P24" s="4"/>
      <c r="Q24" s="4"/>
      <c r="R24" s="4"/>
      <c r="S24" s="4"/>
      <c r="T24" s="4"/>
      <c r="U24" s="4"/>
      <c r="V24" s="4"/>
      <c r="W24" s="5"/>
    </row>
    <row r="25" spans="1:23">
      <c r="A25" s="3">
        <v>14</v>
      </c>
      <c r="B25" s="25"/>
      <c r="C25" s="25"/>
      <c r="D25" s="4" t="str">
        <f t="shared" si="0"/>
        <v xml:space="preserve"> </v>
      </c>
      <c r="E25" s="4" t="str">
        <f t="shared" si="1"/>
        <v xml:space="preserve"> </v>
      </c>
      <c r="F25" s="4" t="str">
        <f t="shared" si="2"/>
        <v xml:space="preserve"> </v>
      </c>
      <c r="G25" s="4" t="str">
        <f t="shared" si="3"/>
        <v xml:space="preserve"> </v>
      </c>
      <c r="H25" s="4" t="str">
        <f t="shared" si="4"/>
        <v xml:space="preserve"> </v>
      </c>
      <c r="I25" s="4"/>
      <c r="J25" s="4"/>
      <c r="K25" s="4" t="str">
        <f t="shared" si="5"/>
        <v xml:space="preserve"> </v>
      </c>
      <c r="L25" s="4" t="str">
        <f t="shared" si="6"/>
        <v xml:space="preserve"> </v>
      </c>
      <c r="M25" s="4" t="str">
        <f t="shared" si="7"/>
        <v xml:space="preserve"> </v>
      </c>
      <c r="N25" s="4" t="str">
        <f t="shared" si="8"/>
        <v xml:space="preserve"> </v>
      </c>
      <c r="O25" s="4"/>
      <c r="P25" s="4"/>
      <c r="Q25" s="4"/>
      <c r="R25" s="4"/>
      <c r="S25" s="4"/>
      <c r="T25" s="4"/>
      <c r="U25" s="4"/>
      <c r="V25" s="4"/>
      <c r="W25" s="5"/>
    </row>
    <row r="26" spans="1:23">
      <c r="A26" s="3">
        <v>15</v>
      </c>
      <c r="B26" s="25"/>
      <c r="C26" s="25"/>
      <c r="D26" s="4" t="str">
        <f t="shared" si="0"/>
        <v xml:space="preserve"> </v>
      </c>
      <c r="E26" s="4" t="str">
        <f t="shared" si="1"/>
        <v xml:space="preserve"> </v>
      </c>
      <c r="F26" s="4" t="str">
        <f t="shared" si="2"/>
        <v xml:space="preserve"> </v>
      </c>
      <c r="G26" s="4" t="str">
        <f t="shared" si="3"/>
        <v xml:space="preserve"> </v>
      </c>
      <c r="H26" s="4" t="str">
        <f t="shared" si="4"/>
        <v xml:space="preserve"> </v>
      </c>
      <c r="I26" s="4"/>
      <c r="J26" s="4"/>
      <c r="K26" s="4" t="str">
        <f t="shared" si="5"/>
        <v xml:space="preserve"> </v>
      </c>
      <c r="L26" s="4" t="str">
        <f t="shared" si="6"/>
        <v xml:space="preserve"> </v>
      </c>
      <c r="M26" s="4" t="str">
        <f t="shared" si="7"/>
        <v xml:space="preserve"> </v>
      </c>
      <c r="N26" s="4" t="str">
        <f t="shared" si="8"/>
        <v xml:space="preserve"> </v>
      </c>
      <c r="O26" s="4"/>
      <c r="P26" s="4"/>
      <c r="Q26" s="4"/>
      <c r="R26" s="4"/>
      <c r="S26" s="4"/>
      <c r="T26" s="4"/>
      <c r="U26" s="4"/>
      <c r="V26" s="4"/>
      <c r="W26" s="5"/>
    </row>
    <row r="27" spans="1:23">
      <c r="A27" s="3">
        <v>16</v>
      </c>
      <c r="B27" s="25"/>
      <c r="C27" s="25"/>
      <c r="D27" s="4" t="str">
        <f t="shared" si="0"/>
        <v xml:space="preserve"> </v>
      </c>
      <c r="E27" s="4" t="str">
        <f t="shared" si="1"/>
        <v xml:space="preserve"> </v>
      </c>
      <c r="F27" s="4" t="str">
        <f t="shared" si="2"/>
        <v xml:space="preserve"> </v>
      </c>
      <c r="G27" s="4" t="str">
        <f t="shared" si="3"/>
        <v xml:space="preserve"> </v>
      </c>
      <c r="H27" s="4" t="str">
        <f t="shared" si="4"/>
        <v xml:space="preserve"> </v>
      </c>
      <c r="I27" s="4"/>
      <c r="J27" s="4"/>
      <c r="K27" s="4" t="str">
        <f t="shared" si="5"/>
        <v xml:space="preserve"> </v>
      </c>
      <c r="L27" s="4" t="str">
        <f t="shared" si="6"/>
        <v xml:space="preserve"> </v>
      </c>
      <c r="M27" s="4" t="str">
        <f t="shared" si="7"/>
        <v xml:space="preserve"> </v>
      </c>
      <c r="N27" s="4" t="str">
        <f t="shared" si="8"/>
        <v xml:space="preserve"> </v>
      </c>
      <c r="O27" s="4"/>
      <c r="P27" s="4"/>
      <c r="Q27" s="4"/>
      <c r="R27" s="4"/>
      <c r="S27" s="4"/>
      <c r="T27" s="4"/>
      <c r="U27" s="4"/>
      <c r="V27" s="4"/>
      <c r="W27" s="5"/>
    </row>
    <row r="28" spans="1:23">
      <c r="A28" s="3">
        <v>17</v>
      </c>
      <c r="B28" s="25"/>
      <c r="C28" s="25"/>
      <c r="D28" s="4" t="str">
        <f t="shared" si="0"/>
        <v xml:space="preserve"> </v>
      </c>
      <c r="E28" s="4" t="str">
        <f t="shared" si="1"/>
        <v xml:space="preserve"> </v>
      </c>
      <c r="F28" s="4" t="str">
        <f t="shared" si="2"/>
        <v xml:space="preserve"> </v>
      </c>
      <c r="G28" s="4" t="str">
        <f t="shared" si="3"/>
        <v xml:space="preserve"> </v>
      </c>
      <c r="H28" s="4" t="str">
        <f t="shared" si="4"/>
        <v xml:space="preserve"> </v>
      </c>
      <c r="I28" s="4"/>
      <c r="J28" s="4"/>
      <c r="K28" s="4" t="str">
        <f t="shared" si="5"/>
        <v xml:space="preserve"> </v>
      </c>
      <c r="L28" s="4" t="str">
        <f t="shared" si="6"/>
        <v xml:space="preserve"> </v>
      </c>
      <c r="M28" s="4" t="str">
        <f t="shared" si="7"/>
        <v xml:space="preserve"> </v>
      </c>
      <c r="N28" s="4" t="str">
        <f t="shared" si="8"/>
        <v xml:space="preserve"> </v>
      </c>
      <c r="O28" s="4"/>
      <c r="P28" s="4"/>
      <c r="Q28" s="4"/>
      <c r="R28" s="4"/>
      <c r="S28" s="4"/>
      <c r="T28" s="4"/>
      <c r="U28" s="4"/>
      <c r="V28" s="4"/>
      <c r="W28" s="5"/>
    </row>
    <row r="29" spans="1:23">
      <c r="A29" s="3">
        <v>18</v>
      </c>
      <c r="B29" s="25"/>
      <c r="C29" s="25"/>
      <c r="D29" s="4" t="str">
        <f t="shared" si="0"/>
        <v xml:space="preserve"> </v>
      </c>
      <c r="E29" s="4" t="str">
        <f t="shared" si="1"/>
        <v xml:space="preserve"> </v>
      </c>
      <c r="F29" s="4" t="str">
        <f t="shared" si="2"/>
        <v xml:space="preserve"> </v>
      </c>
      <c r="G29" s="4" t="str">
        <f t="shared" si="3"/>
        <v xml:space="preserve"> </v>
      </c>
      <c r="H29" s="4" t="str">
        <f t="shared" si="4"/>
        <v xml:space="preserve"> </v>
      </c>
      <c r="I29" s="4"/>
      <c r="J29" s="4"/>
      <c r="K29" s="4" t="str">
        <f t="shared" si="5"/>
        <v xml:space="preserve"> </v>
      </c>
      <c r="L29" s="4" t="str">
        <f t="shared" si="6"/>
        <v xml:space="preserve"> </v>
      </c>
      <c r="M29" s="4" t="str">
        <f t="shared" si="7"/>
        <v xml:space="preserve"> </v>
      </c>
      <c r="N29" s="4" t="str">
        <f t="shared" si="8"/>
        <v xml:space="preserve"> </v>
      </c>
      <c r="O29" s="4"/>
      <c r="P29" s="4"/>
      <c r="Q29" s="4"/>
      <c r="R29" s="4"/>
      <c r="S29" s="4"/>
      <c r="T29" s="4"/>
      <c r="U29" s="4"/>
      <c r="V29" s="4"/>
      <c r="W29" s="5"/>
    </row>
    <row r="30" spans="1:23">
      <c r="A30" s="3">
        <v>19</v>
      </c>
      <c r="B30" s="25"/>
      <c r="C30" s="25"/>
      <c r="D30" s="4" t="str">
        <f t="shared" si="0"/>
        <v xml:space="preserve"> </v>
      </c>
      <c r="E30" s="4" t="str">
        <f t="shared" si="1"/>
        <v xml:space="preserve"> </v>
      </c>
      <c r="F30" s="4" t="str">
        <f t="shared" si="2"/>
        <v xml:space="preserve"> </v>
      </c>
      <c r="G30" s="4" t="str">
        <f t="shared" si="3"/>
        <v xml:space="preserve"> </v>
      </c>
      <c r="H30" s="4" t="str">
        <f t="shared" si="4"/>
        <v xml:space="preserve"> </v>
      </c>
      <c r="I30" s="4"/>
      <c r="J30" s="4"/>
      <c r="K30" s="4" t="str">
        <f t="shared" si="5"/>
        <v xml:space="preserve"> </v>
      </c>
      <c r="L30" s="4" t="str">
        <f t="shared" si="6"/>
        <v xml:space="preserve"> </v>
      </c>
      <c r="M30" s="4" t="str">
        <f t="shared" si="7"/>
        <v xml:space="preserve"> </v>
      </c>
      <c r="N30" s="4" t="str">
        <f t="shared" si="8"/>
        <v xml:space="preserve"> </v>
      </c>
      <c r="O30" s="4"/>
      <c r="P30" s="4"/>
      <c r="Q30" s="4"/>
      <c r="R30" s="4"/>
      <c r="S30" s="4"/>
      <c r="T30" s="4"/>
      <c r="U30" s="4"/>
      <c r="V30" s="4"/>
      <c r="W30" s="5"/>
    </row>
    <row r="31" spans="1:23">
      <c r="A31" s="3">
        <v>20</v>
      </c>
      <c r="B31" s="25"/>
      <c r="C31" s="25"/>
      <c r="D31" s="4" t="str">
        <f t="shared" si="0"/>
        <v xml:space="preserve"> </v>
      </c>
      <c r="E31" s="4" t="str">
        <f t="shared" si="1"/>
        <v xml:space="preserve"> </v>
      </c>
      <c r="F31" s="4" t="str">
        <f>IF(B31,((D31-E31)/60*100)," ")</f>
        <v xml:space="preserve"> </v>
      </c>
      <c r="G31" s="4" t="str">
        <f t="shared" si="3"/>
        <v xml:space="preserve"> </v>
      </c>
      <c r="H31" s="4" t="str">
        <f t="shared" si="4"/>
        <v xml:space="preserve"> </v>
      </c>
      <c r="I31" s="4"/>
      <c r="J31" s="4"/>
      <c r="K31" s="4" t="str">
        <f t="shared" si="5"/>
        <v xml:space="preserve"> </v>
      </c>
      <c r="L31" s="4" t="str">
        <f t="shared" si="6"/>
        <v xml:space="preserve"> </v>
      </c>
      <c r="M31" s="4" t="str">
        <f t="shared" si="7"/>
        <v xml:space="preserve"> </v>
      </c>
      <c r="N31" s="4" t="str">
        <f t="shared" si="8"/>
        <v xml:space="preserve"> </v>
      </c>
      <c r="O31" s="4"/>
      <c r="P31" s="4"/>
      <c r="Q31" s="4"/>
      <c r="R31" s="4"/>
      <c r="S31" s="4"/>
      <c r="T31" s="4"/>
      <c r="U31" s="4"/>
      <c r="V31" s="4"/>
      <c r="W31" s="5"/>
    </row>
    <row r="32" spans="1:23">
      <c r="A32" s="3">
        <v>21</v>
      </c>
      <c r="B32" s="25"/>
      <c r="C32" s="25"/>
      <c r="D32" s="4" t="str">
        <f t="shared" si="0"/>
        <v xml:space="preserve"> </v>
      </c>
      <c r="E32" s="4" t="str">
        <f t="shared" si="1"/>
        <v xml:space="preserve"> </v>
      </c>
      <c r="F32" s="4" t="str">
        <f t="shared" si="2"/>
        <v xml:space="preserve"> </v>
      </c>
      <c r="G32" s="4" t="str">
        <f t="shared" si="3"/>
        <v xml:space="preserve"> </v>
      </c>
      <c r="H32" s="4" t="str">
        <f>IF(B32,(C32*SIN(PI()/180*(E32+F32)))," ")</f>
        <v xml:space="preserve"> </v>
      </c>
      <c r="I32" s="4"/>
      <c r="J32" s="4"/>
      <c r="K32" s="4" t="str">
        <f t="shared" si="5"/>
        <v xml:space="preserve"> </v>
      </c>
      <c r="L32" s="4" t="str">
        <f t="shared" si="6"/>
        <v xml:space="preserve"> </v>
      </c>
      <c r="M32" s="4" t="str">
        <f t="shared" si="7"/>
        <v xml:space="preserve"> </v>
      </c>
      <c r="N32" s="4" t="str">
        <f t="shared" si="8"/>
        <v xml:space="preserve"> </v>
      </c>
      <c r="O32" s="4"/>
      <c r="P32" s="4"/>
      <c r="Q32" s="4"/>
      <c r="R32" s="4"/>
      <c r="S32" s="4"/>
      <c r="T32" s="4"/>
      <c r="U32" s="4"/>
      <c r="V32" s="4"/>
      <c r="W32" s="5"/>
    </row>
    <row r="33" spans="1:23">
      <c r="A33" s="3">
        <v>22</v>
      </c>
      <c r="B33" s="25"/>
      <c r="C33" s="25"/>
      <c r="D33" s="4" t="str">
        <f t="shared" si="0"/>
        <v xml:space="preserve"> </v>
      </c>
      <c r="E33" s="4" t="str">
        <f t="shared" si="1"/>
        <v xml:space="preserve"> </v>
      </c>
      <c r="F33" s="4" t="str">
        <f t="shared" si="2"/>
        <v xml:space="preserve"> </v>
      </c>
      <c r="G33" s="4" t="str">
        <f t="shared" si="3"/>
        <v xml:space="preserve"> </v>
      </c>
      <c r="H33" s="4" t="str">
        <f t="shared" si="4"/>
        <v xml:space="preserve"> </v>
      </c>
      <c r="I33" s="4"/>
      <c r="J33" s="4"/>
      <c r="K33" s="4" t="str">
        <f t="shared" si="5"/>
        <v xml:space="preserve"> </v>
      </c>
      <c r="L33" s="4" t="str">
        <f t="shared" si="6"/>
        <v xml:space="preserve"> </v>
      </c>
      <c r="M33" s="4" t="str">
        <f t="shared" si="7"/>
        <v xml:space="preserve"> </v>
      </c>
      <c r="N33" s="4" t="str">
        <f t="shared" si="8"/>
        <v xml:space="preserve"> </v>
      </c>
      <c r="O33" s="4"/>
      <c r="P33" s="4"/>
      <c r="Q33" s="4"/>
      <c r="R33" s="4"/>
      <c r="S33" s="4"/>
      <c r="T33" s="4"/>
      <c r="U33" s="4"/>
      <c r="V33" s="4"/>
      <c r="W33" s="5"/>
    </row>
    <row r="34" spans="1:23">
      <c r="A34" s="3">
        <v>23</v>
      </c>
      <c r="B34" s="25"/>
      <c r="C34" s="25"/>
      <c r="D34" s="4" t="str">
        <f t="shared" si="0"/>
        <v xml:space="preserve"> </v>
      </c>
      <c r="E34" s="4" t="str">
        <f t="shared" si="1"/>
        <v xml:space="preserve"> </v>
      </c>
      <c r="F34" s="4" t="str">
        <f t="shared" si="2"/>
        <v xml:space="preserve"> </v>
      </c>
      <c r="G34" s="4" t="str">
        <f t="shared" si="3"/>
        <v xml:space="preserve"> </v>
      </c>
      <c r="H34" s="4" t="str">
        <f t="shared" si="4"/>
        <v xml:space="preserve"> </v>
      </c>
      <c r="I34" s="4"/>
      <c r="J34" s="4"/>
      <c r="K34" s="4" t="str">
        <f>IF(B34,SUM(G34,-$I$12)," ")</f>
        <v xml:space="preserve"> </v>
      </c>
      <c r="L34" s="4" t="str">
        <f t="shared" si="6"/>
        <v xml:space="preserve"> </v>
      </c>
      <c r="M34" s="4" t="str">
        <f t="shared" si="7"/>
        <v xml:space="preserve"> </v>
      </c>
      <c r="N34" s="4" t="str">
        <f t="shared" si="8"/>
        <v xml:space="preserve"> </v>
      </c>
      <c r="O34" s="4"/>
      <c r="P34" s="4"/>
      <c r="Q34" s="4"/>
      <c r="R34" s="4"/>
      <c r="S34" s="4"/>
      <c r="T34" s="4"/>
      <c r="U34" s="4"/>
      <c r="V34" s="4"/>
      <c r="W34" s="5"/>
    </row>
    <row r="35" spans="1:23" ht="15.75" customHeight="1" thickBot="1">
      <c r="A35" s="6">
        <v>24</v>
      </c>
      <c r="B35" s="26"/>
      <c r="C35" s="26"/>
      <c r="D35" s="7" t="str">
        <f t="shared" si="0"/>
        <v xml:space="preserve"> </v>
      </c>
      <c r="E35" s="7" t="str">
        <f t="shared" si="1"/>
        <v xml:space="preserve"> </v>
      </c>
      <c r="F35" s="7" t="str">
        <f t="shared" si="2"/>
        <v xml:space="preserve"> </v>
      </c>
      <c r="G35" s="7" t="str">
        <f t="shared" si="3"/>
        <v xml:space="preserve"> </v>
      </c>
      <c r="H35" s="7" t="str">
        <f t="shared" si="4"/>
        <v xml:space="preserve"> </v>
      </c>
      <c r="I35" s="7"/>
      <c r="J35" s="7"/>
      <c r="K35" s="7" t="str">
        <f t="shared" si="5"/>
        <v xml:space="preserve"> </v>
      </c>
      <c r="L35" s="7" t="str">
        <f t="shared" si="6"/>
        <v xml:space="preserve"> </v>
      </c>
      <c r="M35" s="7" t="str">
        <f t="shared" si="7"/>
        <v xml:space="preserve"> </v>
      </c>
      <c r="N35" s="7" t="str">
        <f>IF(B35,POWER(L35,2)," ")</f>
        <v xml:space="preserve"> </v>
      </c>
      <c r="O35" s="7"/>
      <c r="P35" s="7"/>
      <c r="Q35" s="7"/>
      <c r="R35" s="7"/>
      <c r="S35" s="7"/>
      <c r="T35" s="7"/>
      <c r="U35" s="7"/>
      <c r="V35" s="7"/>
      <c r="W35" s="8"/>
    </row>
    <row r="36" spans="1:23" ht="19.5" thickBot="1">
      <c r="A36" s="115" t="s">
        <v>44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3" ht="30">
      <c r="A37" s="1" t="s">
        <v>2</v>
      </c>
      <c r="B37" s="23" t="s">
        <v>0</v>
      </c>
      <c r="C37" s="23" t="s">
        <v>1</v>
      </c>
      <c r="D37" s="11" t="s">
        <v>51</v>
      </c>
      <c r="E37" s="2" t="s">
        <v>4</v>
      </c>
      <c r="F37" s="11" t="s">
        <v>5</v>
      </c>
      <c r="G37" s="2" t="s">
        <v>3</v>
      </c>
      <c r="H37" s="2" t="s">
        <v>21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" t="s">
        <v>11</v>
      </c>
      <c r="O37" s="2" t="s">
        <v>12</v>
      </c>
      <c r="P37" s="2" t="s">
        <v>13</v>
      </c>
      <c r="Q37" s="2" t="s">
        <v>14</v>
      </c>
      <c r="R37" s="2" t="s">
        <v>15</v>
      </c>
      <c r="S37" s="2" t="s">
        <v>16</v>
      </c>
      <c r="T37" s="12" t="s">
        <v>17</v>
      </c>
      <c r="U37" s="12" t="s">
        <v>18</v>
      </c>
      <c r="V37" s="13" t="s">
        <v>19</v>
      </c>
      <c r="W37" s="9" t="s">
        <v>22</v>
      </c>
    </row>
    <row r="38" spans="1:23">
      <c r="A38" s="3">
        <v>1</v>
      </c>
      <c r="B38" s="25"/>
      <c r="C38" s="25"/>
      <c r="D38" s="4" t="str">
        <f t="shared" ref="D38:D46" si="9">IF(B38,B38-$C$4," ")</f>
        <v xml:space="preserve"> </v>
      </c>
      <c r="E38" s="4" t="str">
        <f t="shared" ref="E38:E46" si="10">IF(B38,INT(D38)," ")</f>
        <v xml:space="preserve"> </v>
      </c>
      <c r="F38" s="4" t="str">
        <f t="shared" ref="F38:F46" si="11">IF(B38,((D38-E38)/60*100)," ")</f>
        <v xml:space="preserve"> </v>
      </c>
      <c r="G38" s="4" t="str">
        <f t="shared" ref="G38:G46" si="12">IF(B38,C38*COS(PI()/180*(E38+F38))," ")</f>
        <v xml:space="preserve"> </v>
      </c>
      <c r="H38" s="4" t="str">
        <f t="shared" ref="H38:H46" si="13">IF(B38,(C38*SIN(PI()/180*(E38+F38)))," ")</f>
        <v xml:space="preserve"> </v>
      </c>
      <c r="I38" s="4">
        <f>SUM(G38:G61)/E6</f>
        <v>0</v>
      </c>
      <c r="J38" s="4">
        <f>SUM(H38:H61)/E6</f>
        <v>0</v>
      </c>
      <c r="K38" s="4" t="str">
        <f t="shared" ref="K38:K46" si="14">IF(B38,SUM(G38,-$I$12)," ")</f>
        <v xml:space="preserve"> </v>
      </c>
      <c r="L38" s="4" t="str">
        <f t="shared" ref="L38:L46" si="15">IF(B38,SUM(H38,-$J$12)," ")</f>
        <v xml:space="preserve"> </v>
      </c>
      <c r="M38" s="4" t="str">
        <f t="shared" ref="M38:M46" si="16">IF(B38,POWER(K38,2)," ")</f>
        <v xml:space="preserve"> </v>
      </c>
      <c r="N38" s="4" t="str">
        <f t="shared" ref="N38:N46" si="17">IF(B38,POWER(L38,2)," ")</f>
        <v xml:space="preserve"> </v>
      </c>
      <c r="O38" s="4">
        <f>E6-1</f>
        <v>23</v>
      </c>
      <c r="P38" s="4">
        <f>SUM(M38:M61)</f>
        <v>0</v>
      </c>
      <c r="Q38" s="4">
        <f>SUM(N38:N61)</f>
        <v>0</v>
      </c>
      <c r="R38" s="4">
        <f>PRODUCT(P38,1/$O$38)</f>
        <v>0</v>
      </c>
      <c r="S38" s="4">
        <f>PRODUCT(Q38,1/$O$38)</f>
        <v>0</v>
      </c>
      <c r="T38" s="4">
        <f>SQRT(R38)</f>
        <v>0</v>
      </c>
      <c r="U38" s="4">
        <f>SQRT(S38)</f>
        <v>0</v>
      </c>
      <c r="V38" s="4">
        <f>PRODUCT(T38:U38)</f>
        <v>0</v>
      </c>
      <c r="W38" s="10">
        <f>SQRT(V38)</f>
        <v>0</v>
      </c>
    </row>
    <row r="39" spans="1:23">
      <c r="A39" s="3">
        <v>2</v>
      </c>
      <c r="B39" s="25"/>
      <c r="C39" s="25"/>
      <c r="D39" s="4" t="str">
        <f t="shared" si="9"/>
        <v xml:space="preserve"> </v>
      </c>
      <c r="E39" s="4" t="str">
        <f t="shared" si="10"/>
        <v xml:space="preserve"> </v>
      </c>
      <c r="F39" s="4" t="str">
        <f t="shared" si="11"/>
        <v xml:space="preserve"> </v>
      </c>
      <c r="G39" s="4" t="str">
        <f t="shared" si="12"/>
        <v xml:space="preserve"> </v>
      </c>
      <c r="H39" s="4" t="str">
        <f t="shared" si="13"/>
        <v xml:space="preserve"> </v>
      </c>
      <c r="I39" s="4"/>
      <c r="J39" s="4"/>
      <c r="K39" s="4" t="str">
        <f t="shared" si="14"/>
        <v xml:space="preserve"> </v>
      </c>
      <c r="L39" s="4" t="str">
        <f t="shared" si="15"/>
        <v xml:space="preserve"> </v>
      </c>
      <c r="M39" s="4" t="str">
        <f t="shared" si="16"/>
        <v xml:space="preserve"> </v>
      </c>
      <c r="N39" s="4" t="str">
        <f t="shared" si="17"/>
        <v xml:space="preserve"> </v>
      </c>
      <c r="O39" s="4"/>
      <c r="P39" s="4"/>
      <c r="Q39" s="4"/>
      <c r="R39" s="4"/>
      <c r="S39" s="4"/>
      <c r="T39" s="4"/>
      <c r="U39" s="4"/>
      <c r="V39" s="4"/>
      <c r="W39" s="5"/>
    </row>
    <row r="40" spans="1:23">
      <c r="A40" s="3">
        <v>3</v>
      </c>
      <c r="B40" s="25"/>
      <c r="C40" s="25"/>
      <c r="D40" s="4" t="str">
        <f t="shared" si="9"/>
        <v xml:space="preserve"> </v>
      </c>
      <c r="E40" s="4" t="str">
        <f t="shared" si="10"/>
        <v xml:space="preserve"> </v>
      </c>
      <c r="F40" s="4" t="str">
        <f t="shared" si="11"/>
        <v xml:space="preserve"> </v>
      </c>
      <c r="G40" s="4" t="str">
        <f t="shared" si="12"/>
        <v xml:space="preserve"> </v>
      </c>
      <c r="H40" s="4" t="str">
        <f t="shared" si="13"/>
        <v xml:space="preserve"> </v>
      </c>
      <c r="I40" s="4"/>
      <c r="J40" s="4"/>
      <c r="K40" s="4" t="str">
        <f t="shared" si="14"/>
        <v xml:space="preserve"> </v>
      </c>
      <c r="L40" s="4" t="str">
        <f t="shared" si="15"/>
        <v xml:space="preserve"> </v>
      </c>
      <c r="M40" s="4" t="str">
        <f t="shared" si="16"/>
        <v xml:space="preserve"> </v>
      </c>
      <c r="N40" s="4" t="str">
        <f t="shared" si="17"/>
        <v xml:space="preserve"> </v>
      </c>
      <c r="O40" s="4"/>
      <c r="P40" s="4"/>
      <c r="Q40" s="4"/>
      <c r="R40" s="4"/>
      <c r="S40" s="4"/>
      <c r="T40" s="4"/>
      <c r="U40" s="4"/>
      <c r="V40" s="4"/>
      <c r="W40" s="5"/>
    </row>
    <row r="41" spans="1:23">
      <c r="A41" s="3">
        <v>4</v>
      </c>
      <c r="B41" s="25"/>
      <c r="C41" s="25"/>
      <c r="D41" s="4" t="str">
        <f t="shared" si="9"/>
        <v xml:space="preserve"> </v>
      </c>
      <c r="E41" s="4" t="str">
        <f t="shared" si="10"/>
        <v xml:space="preserve"> </v>
      </c>
      <c r="F41" s="4" t="str">
        <f t="shared" si="11"/>
        <v xml:space="preserve"> </v>
      </c>
      <c r="G41" s="4" t="str">
        <f t="shared" si="12"/>
        <v xml:space="preserve"> </v>
      </c>
      <c r="H41" s="4" t="str">
        <f t="shared" si="13"/>
        <v xml:space="preserve"> </v>
      </c>
      <c r="I41" s="4"/>
      <c r="J41" s="4"/>
      <c r="K41" s="4" t="str">
        <f t="shared" si="14"/>
        <v xml:space="preserve"> </v>
      </c>
      <c r="L41" s="4" t="str">
        <f t="shared" si="15"/>
        <v xml:space="preserve"> </v>
      </c>
      <c r="M41" s="4" t="str">
        <f t="shared" si="16"/>
        <v xml:space="preserve"> </v>
      </c>
      <c r="N41" s="4" t="str">
        <f t="shared" si="17"/>
        <v xml:space="preserve"> </v>
      </c>
      <c r="O41" s="4"/>
      <c r="P41" s="4"/>
      <c r="Q41" s="4"/>
      <c r="R41" s="4"/>
      <c r="S41" s="4"/>
      <c r="T41" s="4"/>
      <c r="U41" s="4"/>
      <c r="V41" s="4"/>
      <c r="W41" s="5"/>
    </row>
    <row r="42" spans="1:23">
      <c r="A42" s="3">
        <v>5</v>
      </c>
      <c r="B42" s="25"/>
      <c r="C42" s="25"/>
      <c r="D42" s="4" t="str">
        <f t="shared" si="9"/>
        <v xml:space="preserve"> </v>
      </c>
      <c r="E42" s="4" t="str">
        <f t="shared" si="10"/>
        <v xml:space="preserve"> </v>
      </c>
      <c r="F42" s="4" t="str">
        <f t="shared" si="11"/>
        <v xml:space="preserve"> </v>
      </c>
      <c r="G42" s="4" t="str">
        <f t="shared" si="12"/>
        <v xml:space="preserve"> </v>
      </c>
      <c r="H42" s="4" t="str">
        <f t="shared" si="13"/>
        <v xml:space="preserve"> </v>
      </c>
      <c r="I42" s="4"/>
      <c r="J42" s="4"/>
      <c r="K42" s="4" t="str">
        <f t="shared" si="14"/>
        <v xml:space="preserve"> </v>
      </c>
      <c r="L42" s="4" t="str">
        <f t="shared" si="15"/>
        <v xml:space="preserve"> </v>
      </c>
      <c r="M42" s="4" t="str">
        <f t="shared" si="16"/>
        <v xml:space="preserve"> </v>
      </c>
      <c r="N42" s="4" t="str">
        <f t="shared" si="17"/>
        <v xml:space="preserve"> </v>
      </c>
      <c r="O42" s="4"/>
      <c r="P42" s="4"/>
      <c r="Q42" s="4"/>
      <c r="R42" s="4"/>
      <c r="S42" s="4"/>
      <c r="T42" s="4"/>
      <c r="U42" s="4"/>
      <c r="V42" s="4"/>
      <c r="W42" s="5"/>
    </row>
    <row r="43" spans="1:23">
      <c r="A43" s="3">
        <v>6</v>
      </c>
      <c r="B43" s="25"/>
      <c r="C43" s="25"/>
      <c r="D43" s="4" t="str">
        <f t="shared" si="9"/>
        <v xml:space="preserve"> </v>
      </c>
      <c r="E43" s="4" t="str">
        <f t="shared" si="10"/>
        <v xml:space="preserve"> </v>
      </c>
      <c r="F43" s="4" t="str">
        <f t="shared" si="11"/>
        <v xml:space="preserve"> </v>
      </c>
      <c r="G43" s="4" t="str">
        <f t="shared" si="12"/>
        <v xml:space="preserve"> </v>
      </c>
      <c r="H43" s="4" t="str">
        <f t="shared" si="13"/>
        <v xml:space="preserve"> </v>
      </c>
      <c r="I43" s="4"/>
      <c r="J43" s="4"/>
      <c r="K43" s="4" t="str">
        <f t="shared" si="14"/>
        <v xml:space="preserve"> </v>
      </c>
      <c r="L43" s="4" t="str">
        <f t="shared" si="15"/>
        <v xml:space="preserve"> </v>
      </c>
      <c r="M43" s="4" t="str">
        <f t="shared" si="16"/>
        <v xml:space="preserve"> </v>
      </c>
      <c r="N43" s="4" t="str">
        <f t="shared" si="17"/>
        <v xml:space="preserve"> </v>
      </c>
      <c r="O43" s="4"/>
      <c r="P43" s="4"/>
      <c r="Q43" s="4"/>
      <c r="R43" s="4"/>
      <c r="S43" s="4"/>
      <c r="T43" s="4"/>
      <c r="U43" s="4"/>
      <c r="V43" s="4"/>
      <c r="W43" s="5"/>
    </row>
    <row r="44" spans="1:23">
      <c r="A44" s="3">
        <v>7</v>
      </c>
      <c r="B44" s="25"/>
      <c r="C44" s="25"/>
      <c r="D44" s="4" t="str">
        <f t="shared" si="9"/>
        <v xml:space="preserve"> </v>
      </c>
      <c r="E44" s="4" t="str">
        <f t="shared" si="10"/>
        <v xml:space="preserve"> </v>
      </c>
      <c r="F44" s="4" t="str">
        <f t="shared" si="11"/>
        <v xml:space="preserve"> </v>
      </c>
      <c r="G44" s="4" t="str">
        <f t="shared" si="12"/>
        <v xml:space="preserve"> </v>
      </c>
      <c r="H44" s="4" t="str">
        <f t="shared" si="13"/>
        <v xml:space="preserve"> </v>
      </c>
      <c r="I44" s="4"/>
      <c r="J44" s="4"/>
      <c r="K44" s="4" t="str">
        <f t="shared" si="14"/>
        <v xml:space="preserve"> </v>
      </c>
      <c r="L44" s="4" t="str">
        <f t="shared" si="15"/>
        <v xml:space="preserve"> </v>
      </c>
      <c r="M44" s="4" t="str">
        <f t="shared" si="16"/>
        <v xml:space="preserve"> </v>
      </c>
      <c r="N44" s="4" t="str">
        <f t="shared" si="17"/>
        <v xml:space="preserve"> </v>
      </c>
      <c r="O44" s="4"/>
      <c r="P44" s="4"/>
      <c r="Q44" s="4"/>
      <c r="R44" s="4"/>
      <c r="S44" s="4"/>
      <c r="T44" s="4"/>
      <c r="U44" s="4"/>
      <c r="V44" s="4"/>
      <c r="W44" s="5"/>
    </row>
    <row r="45" spans="1:23">
      <c r="A45" s="3">
        <v>8</v>
      </c>
      <c r="B45" s="25"/>
      <c r="C45" s="25"/>
      <c r="D45" s="4" t="str">
        <f t="shared" si="9"/>
        <v xml:space="preserve"> </v>
      </c>
      <c r="E45" s="4" t="str">
        <f t="shared" si="10"/>
        <v xml:space="preserve"> </v>
      </c>
      <c r="F45" s="4" t="str">
        <f t="shared" si="11"/>
        <v xml:space="preserve"> </v>
      </c>
      <c r="G45" s="4" t="str">
        <f t="shared" si="12"/>
        <v xml:space="preserve"> </v>
      </c>
      <c r="H45" s="4" t="str">
        <f t="shared" si="13"/>
        <v xml:space="preserve"> </v>
      </c>
      <c r="I45" s="4"/>
      <c r="J45" s="4"/>
      <c r="K45" s="4" t="str">
        <f t="shared" si="14"/>
        <v xml:space="preserve"> </v>
      </c>
      <c r="L45" s="4" t="str">
        <f t="shared" si="15"/>
        <v xml:space="preserve"> </v>
      </c>
      <c r="M45" s="4" t="str">
        <f t="shared" si="16"/>
        <v xml:space="preserve"> </v>
      </c>
      <c r="N45" s="4" t="str">
        <f t="shared" si="17"/>
        <v xml:space="preserve"> </v>
      </c>
      <c r="O45" s="4"/>
      <c r="P45" s="4"/>
      <c r="Q45" s="4"/>
      <c r="R45" s="4"/>
      <c r="S45" s="4"/>
      <c r="T45" s="4"/>
      <c r="U45" s="4"/>
      <c r="V45" s="4"/>
      <c r="W45" s="5"/>
    </row>
    <row r="46" spans="1:23">
      <c r="A46" s="3">
        <v>9</v>
      </c>
      <c r="B46" s="25"/>
      <c r="C46" s="25"/>
      <c r="D46" s="4" t="str">
        <f t="shared" si="9"/>
        <v xml:space="preserve"> </v>
      </c>
      <c r="E46" s="4" t="str">
        <f t="shared" si="10"/>
        <v xml:space="preserve"> </v>
      </c>
      <c r="F46" s="4" t="str">
        <f t="shared" si="11"/>
        <v xml:space="preserve"> </v>
      </c>
      <c r="G46" s="4" t="str">
        <f t="shared" si="12"/>
        <v xml:space="preserve"> </v>
      </c>
      <c r="H46" s="4" t="str">
        <f t="shared" si="13"/>
        <v xml:space="preserve"> </v>
      </c>
      <c r="I46" s="4"/>
      <c r="J46" s="4"/>
      <c r="K46" s="4" t="str">
        <f t="shared" si="14"/>
        <v xml:space="preserve"> </v>
      </c>
      <c r="L46" s="4" t="str">
        <f t="shared" si="15"/>
        <v xml:space="preserve"> </v>
      </c>
      <c r="M46" s="4" t="str">
        <f t="shared" si="16"/>
        <v xml:space="preserve"> </v>
      </c>
      <c r="N46" s="4" t="str">
        <f t="shared" si="17"/>
        <v xml:space="preserve"> </v>
      </c>
      <c r="O46" s="4"/>
      <c r="P46" s="4"/>
      <c r="Q46" s="4"/>
      <c r="R46" s="4"/>
      <c r="S46" s="4"/>
      <c r="T46" s="4"/>
      <c r="U46" s="4"/>
      <c r="V46" s="4"/>
      <c r="W46" s="5"/>
    </row>
    <row r="47" spans="1:23">
      <c r="A47" s="3">
        <v>10</v>
      </c>
      <c r="B47" s="25"/>
      <c r="C47" s="25"/>
      <c r="D47" s="4" t="str">
        <f t="shared" ref="D47:D61" si="18">IF(B47,B47-$C$4," ")</f>
        <v xml:space="preserve"> </v>
      </c>
      <c r="E47" s="4" t="str">
        <f t="shared" ref="E47:E61" si="19">IF(B47,INT(D47)," ")</f>
        <v xml:space="preserve"> </v>
      </c>
      <c r="F47" s="4" t="str">
        <f t="shared" ref="F47:F61" si="20">IF(B47,((D47-E47)/60*100)," ")</f>
        <v xml:space="preserve"> </v>
      </c>
      <c r="G47" s="4" t="str">
        <f t="shared" ref="G47:G61" si="21">IF(B47,C47*COS(PI()/180*(E47+F47))," ")</f>
        <v xml:space="preserve"> </v>
      </c>
      <c r="H47" s="4" t="str">
        <f t="shared" ref="H47:H61" si="22">IF(B47,(C47*SIN(PI()/180*(E47+F47)))," ")</f>
        <v xml:space="preserve"> </v>
      </c>
      <c r="I47" s="4"/>
      <c r="J47" s="4"/>
      <c r="K47" s="4" t="str">
        <f t="shared" ref="K47:K61" si="23">IF(B47,SUM(G47,-$I$12)," ")</f>
        <v xml:space="preserve"> </v>
      </c>
      <c r="L47" s="4" t="str">
        <f t="shared" ref="L47:L61" si="24">IF(B47,SUM(H47,-$J$12)," ")</f>
        <v xml:space="preserve"> </v>
      </c>
      <c r="M47" s="4" t="str">
        <f t="shared" ref="M47:M61" si="25">IF(B47,POWER(K47,2)," ")</f>
        <v xml:space="preserve"> </v>
      </c>
      <c r="N47" s="4" t="str">
        <f t="shared" ref="N47:N61" si="26">IF(B47,POWER(L47,2)," ")</f>
        <v xml:space="preserve"> </v>
      </c>
      <c r="O47" s="4"/>
      <c r="P47" s="4"/>
      <c r="Q47" s="4"/>
      <c r="R47" s="4"/>
      <c r="S47" s="4"/>
      <c r="T47" s="4"/>
      <c r="U47" s="4"/>
      <c r="V47" s="4"/>
      <c r="W47" s="5"/>
    </row>
    <row r="48" spans="1:23">
      <c r="A48" s="3">
        <v>11</v>
      </c>
      <c r="B48" s="25"/>
      <c r="C48" s="25"/>
      <c r="D48" s="4" t="str">
        <f t="shared" si="18"/>
        <v xml:space="preserve"> </v>
      </c>
      <c r="E48" s="4" t="str">
        <f t="shared" si="19"/>
        <v xml:space="preserve"> </v>
      </c>
      <c r="F48" s="4" t="str">
        <f t="shared" si="20"/>
        <v xml:space="preserve"> </v>
      </c>
      <c r="G48" s="4" t="str">
        <f t="shared" si="21"/>
        <v xml:space="preserve"> </v>
      </c>
      <c r="H48" s="4" t="str">
        <f t="shared" si="22"/>
        <v xml:space="preserve"> </v>
      </c>
      <c r="I48" s="4"/>
      <c r="J48" s="4"/>
      <c r="K48" s="4" t="str">
        <f t="shared" si="23"/>
        <v xml:space="preserve"> </v>
      </c>
      <c r="L48" s="4" t="str">
        <f t="shared" si="24"/>
        <v xml:space="preserve"> </v>
      </c>
      <c r="M48" s="4" t="str">
        <f t="shared" si="25"/>
        <v xml:space="preserve"> </v>
      </c>
      <c r="N48" s="4" t="str">
        <f t="shared" si="26"/>
        <v xml:space="preserve"> </v>
      </c>
      <c r="O48" s="4"/>
      <c r="P48" s="4"/>
      <c r="Q48" s="4"/>
      <c r="R48" s="4"/>
      <c r="S48" s="4"/>
      <c r="T48" s="4"/>
      <c r="U48" s="4"/>
      <c r="V48" s="4"/>
      <c r="W48" s="5"/>
    </row>
    <row r="49" spans="1:23">
      <c r="A49" s="3">
        <v>12</v>
      </c>
      <c r="B49" s="25"/>
      <c r="C49" s="25"/>
      <c r="D49" s="4" t="str">
        <f t="shared" si="18"/>
        <v xml:space="preserve"> </v>
      </c>
      <c r="E49" s="4" t="str">
        <f t="shared" si="19"/>
        <v xml:space="preserve"> </v>
      </c>
      <c r="F49" s="4" t="str">
        <f t="shared" si="20"/>
        <v xml:space="preserve"> </v>
      </c>
      <c r="G49" s="4" t="str">
        <f t="shared" si="21"/>
        <v xml:space="preserve"> </v>
      </c>
      <c r="H49" s="4" t="str">
        <f t="shared" si="22"/>
        <v xml:space="preserve"> </v>
      </c>
      <c r="I49" s="4"/>
      <c r="J49" s="4"/>
      <c r="K49" s="4" t="str">
        <f t="shared" si="23"/>
        <v xml:space="preserve"> </v>
      </c>
      <c r="L49" s="4" t="str">
        <f t="shared" si="24"/>
        <v xml:space="preserve"> </v>
      </c>
      <c r="M49" s="4" t="str">
        <f t="shared" si="25"/>
        <v xml:space="preserve"> </v>
      </c>
      <c r="N49" s="4" t="str">
        <f t="shared" si="26"/>
        <v xml:space="preserve"> </v>
      </c>
      <c r="O49" s="4"/>
      <c r="P49" s="4"/>
      <c r="Q49" s="4"/>
      <c r="R49" s="4"/>
      <c r="S49" s="4"/>
      <c r="T49" s="4"/>
      <c r="U49" s="4"/>
      <c r="V49" s="4"/>
      <c r="W49" s="5"/>
    </row>
    <row r="50" spans="1:23">
      <c r="A50" s="3">
        <v>13</v>
      </c>
      <c r="B50" s="25"/>
      <c r="C50" s="25"/>
      <c r="D50" s="4" t="str">
        <f t="shared" ref="D50:D58" si="27">IF(B50,B50-$C$4," ")</f>
        <v xml:space="preserve"> </v>
      </c>
      <c r="E50" s="4" t="str">
        <f t="shared" ref="E50:E58" si="28">IF(B50,INT(D50)," ")</f>
        <v xml:space="preserve"> </v>
      </c>
      <c r="F50" s="4" t="str">
        <f t="shared" ref="F50:F58" si="29">IF(B50,((D50-E50)/60*100)," ")</f>
        <v xml:space="preserve"> </v>
      </c>
      <c r="G50" s="4" t="str">
        <f t="shared" ref="G50:G58" si="30">IF(B50,C50*COS(PI()/180*(E50+F50))," ")</f>
        <v xml:space="preserve"> </v>
      </c>
      <c r="H50" s="4" t="str">
        <f t="shared" ref="H50:H58" si="31">IF(B50,(C50*SIN(PI()/180*(E50+F50)))," ")</f>
        <v xml:space="preserve"> </v>
      </c>
      <c r="I50" s="4"/>
      <c r="J50" s="4"/>
      <c r="K50" s="4" t="str">
        <f t="shared" ref="K50:K58" si="32">IF(B50,SUM(G50,-$I$12)," ")</f>
        <v xml:space="preserve"> </v>
      </c>
      <c r="L50" s="4" t="str">
        <f t="shared" ref="L50:L58" si="33">IF(B50,SUM(H50,-$J$12)," ")</f>
        <v xml:space="preserve"> </v>
      </c>
      <c r="M50" s="4" t="str">
        <f t="shared" ref="M50:M58" si="34">IF(B50,POWER(K50,2)," ")</f>
        <v xml:space="preserve"> </v>
      </c>
      <c r="N50" s="4" t="str">
        <f t="shared" ref="N50:N58" si="35">IF(B50,POWER(L50,2)," ")</f>
        <v xml:space="preserve"> </v>
      </c>
      <c r="O50" s="4"/>
      <c r="P50" s="4"/>
      <c r="Q50" s="4"/>
      <c r="R50" s="4"/>
      <c r="S50" s="4"/>
      <c r="T50" s="4"/>
      <c r="U50" s="4"/>
      <c r="V50" s="4"/>
      <c r="W50" s="5"/>
    </row>
    <row r="51" spans="1:23">
      <c r="A51" s="3">
        <v>14</v>
      </c>
      <c r="B51" s="25"/>
      <c r="C51" s="25"/>
      <c r="D51" s="4" t="str">
        <f t="shared" si="27"/>
        <v xml:space="preserve"> </v>
      </c>
      <c r="E51" s="4" t="str">
        <f t="shared" si="28"/>
        <v xml:space="preserve"> </v>
      </c>
      <c r="F51" s="4" t="str">
        <f t="shared" si="29"/>
        <v xml:space="preserve"> </v>
      </c>
      <c r="G51" s="4" t="str">
        <f t="shared" si="30"/>
        <v xml:space="preserve"> </v>
      </c>
      <c r="H51" s="4" t="str">
        <f t="shared" si="31"/>
        <v xml:space="preserve"> </v>
      </c>
      <c r="I51" s="4"/>
      <c r="J51" s="4"/>
      <c r="K51" s="4" t="str">
        <f t="shared" si="32"/>
        <v xml:space="preserve"> </v>
      </c>
      <c r="L51" s="4" t="str">
        <f t="shared" si="33"/>
        <v xml:space="preserve"> </v>
      </c>
      <c r="M51" s="4" t="str">
        <f t="shared" si="34"/>
        <v xml:space="preserve"> </v>
      </c>
      <c r="N51" s="4" t="str">
        <f t="shared" si="35"/>
        <v xml:space="preserve"> </v>
      </c>
      <c r="O51" s="4"/>
      <c r="P51" s="4"/>
      <c r="Q51" s="4"/>
      <c r="R51" s="4"/>
      <c r="S51" s="4"/>
      <c r="T51" s="4"/>
      <c r="U51" s="4"/>
      <c r="V51" s="4"/>
      <c r="W51" s="5"/>
    </row>
    <row r="52" spans="1:23">
      <c r="A52" s="3">
        <v>15</v>
      </c>
      <c r="B52" s="25"/>
      <c r="C52" s="25"/>
      <c r="D52" s="4" t="str">
        <f t="shared" si="27"/>
        <v xml:space="preserve"> </v>
      </c>
      <c r="E52" s="4" t="str">
        <f t="shared" si="28"/>
        <v xml:space="preserve"> </v>
      </c>
      <c r="F52" s="4" t="str">
        <f t="shared" si="29"/>
        <v xml:space="preserve"> </v>
      </c>
      <c r="G52" s="4" t="str">
        <f t="shared" si="30"/>
        <v xml:space="preserve"> </v>
      </c>
      <c r="H52" s="4" t="str">
        <f t="shared" si="31"/>
        <v xml:space="preserve"> </v>
      </c>
      <c r="I52" s="4"/>
      <c r="J52" s="4"/>
      <c r="K52" s="4" t="str">
        <f t="shared" si="32"/>
        <v xml:space="preserve"> </v>
      </c>
      <c r="L52" s="4" t="str">
        <f t="shared" si="33"/>
        <v xml:space="preserve"> </v>
      </c>
      <c r="M52" s="4" t="str">
        <f t="shared" si="34"/>
        <v xml:space="preserve"> </v>
      </c>
      <c r="N52" s="4" t="str">
        <f t="shared" si="35"/>
        <v xml:space="preserve"> </v>
      </c>
      <c r="O52" s="4"/>
      <c r="P52" s="4"/>
      <c r="Q52" s="4"/>
      <c r="R52" s="4"/>
      <c r="S52" s="4"/>
      <c r="T52" s="4"/>
      <c r="U52" s="4"/>
      <c r="V52" s="4"/>
      <c r="W52" s="5"/>
    </row>
    <row r="53" spans="1:23">
      <c r="A53" s="3">
        <v>16</v>
      </c>
      <c r="B53" s="25"/>
      <c r="C53" s="25"/>
      <c r="D53" s="4" t="str">
        <f t="shared" si="27"/>
        <v xml:space="preserve"> </v>
      </c>
      <c r="E53" s="4" t="str">
        <f t="shared" si="28"/>
        <v xml:space="preserve"> </v>
      </c>
      <c r="F53" s="4" t="str">
        <f t="shared" si="29"/>
        <v xml:space="preserve"> </v>
      </c>
      <c r="G53" s="4" t="str">
        <f t="shared" si="30"/>
        <v xml:space="preserve"> </v>
      </c>
      <c r="H53" s="4" t="str">
        <f t="shared" si="31"/>
        <v xml:space="preserve"> </v>
      </c>
      <c r="I53" s="4"/>
      <c r="J53" s="4"/>
      <c r="K53" s="4" t="str">
        <f t="shared" si="32"/>
        <v xml:space="preserve"> </v>
      </c>
      <c r="L53" s="4" t="str">
        <f t="shared" si="33"/>
        <v xml:space="preserve"> </v>
      </c>
      <c r="M53" s="4" t="str">
        <f t="shared" si="34"/>
        <v xml:space="preserve"> </v>
      </c>
      <c r="N53" s="4" t="str">
        <f t="shared" si="35"/>
        <v xml:space="preserve"> </v>
      </c>
      <c r="O53" s="4"/>
      <c r="P53" s="4"/>
      <c r="Q53" s="4"/>
      <c r="R53" s="4"/>
      <c r="S53" s="4"/>
      <c r="T53" s="4"/>
      <c r="U53" s="4"/>
      <c r="V53" s="4"/>
      <c r="W53" s="5"/>
    </row>
    <row r="54" spans="1:23">
      <c r="A54" s="3">
        <v>17</v>
      </c>
      <c r="B54" s="25"/>
      <c r="C54" s="25"/>
      <c r="D54" s="4" t="str">
        <f t="shared" si="27"/>
        <v xml:space="preserve"> </v>
      </c>
      <c r="E54" s="4" t="str">
        <f t="shared" si="28"/>
        <v xml:space="preserve"> </v>
      </c>
      <c r="F54" s="4" t="str">
        <f t="shared" si="29"/>
        <v xml:space="preserve"> </v>
      </c>
      <c r="G54" s="4" t="str">
        <f t="shared" si="30"/>
        <v xml:space="preserve"> </v>
      </c>
      <c r="H54" s="4" t="str">
        <f t="shared" si="31"/>
        <v xml:space="preserve"> </v>
      </c>
      <c r="I54" s="4"/>
      <c r="J54" s="4"/>
      <c r="K54" s="4" t="str">
        <f t="shared" si="32"/>
        <v xml:space="preserve"> </v>
      </c>
      <c r="L54" s="4" t="str">
        <f t="shared" si="33"/>
        <v xml:space="preserve"> </v>
      </c>
      <c r="M54" s="4" t="str">
        <f t="shared" si="34"/>
        <v xml:space="preserve"> </v>
      </c>
      <c r="N54" s="4" t="str">
        <f t="shared" si="35"/>
        <v xml:space="preserve"> </v>
      </c>
      <c r="O54" s="4"/>
      <c r="P54" s="4"/>
      <c r="Q54" s="4"/>
      <c r="R54" s="4"/>
      <c r="S54" s="4"/>
      <c r="T54" s="4"/>
      <c r="U54" s="4"/>
      <c r="V54" s="4"/>
      <c r="W54" s="5"/>
    </row>
    <row r="55" spans="1:23">
      <c r="A55" s="3">
        <v>18</v>
      </c>
      <c r="B55" s="25"/>
      <c r="C55" s="25"/>
      <c r="D55" s="4" t="str">
        <f t="shared" si="27"/>
        <v xml:space="preserve"> </v>
      </c>
      <c r="E55" s="4" t="str">
        <f t="shared" si="28"/>
        <v xml:space="preserve"> </v>
      </c>
      <c r="F55" s="4" t="str">
        <f t="shared" si="29"/>
        <v xml:space="preserve"> </v>
      </c>
      <c r="G55" s="4" t="str">
        <f t="shared" si="30"/>
        <v xml:space="preserve"> </v>
      </c>
      <c r="H55" s="4" t="str">
        <f t="shared" si="31"/>
        <v xml:space="preserve"> </v>
      </c>
      <c r="I55" s="4"/>
      <c r="J55" s="4"/>
      <c r="K55" s="4" t="str">
        <f t="shared" si="32"/>
        <v xml:space="preserve"> </v>
      </c>
      <c r="L55" s="4" t="str">
        <f t="shared" si="33"/>
        <v xml:space="preserve"> </v>
      </c>
      <c r="M55" s="4" t="str">
        <f t="shared" si="34"/>
        <v xml:space="preserve"> </v>
      </c>
      <c r="N55" s="4" t="str">
        <f t="shared" si="35"/>
        <v xml:space="preserve"> </v>
      </c>
      <c r="O55" s="4"/>
      <c r="P55" s="4"/>
      <c r="Q55" s="4"/>
      <c r="R55" s="4"/>
      <c r="S55" s="4"/>
      <c r="T55" s="4"/>
      <c r="U55" s="4"/>
      <c r="V55" s="4"/>
      <c r="W55" s="5"/>
    </row>
    <row r="56" spans="1:23">
      <c r="A56" s="3">
        <v>19</v>
      </c>
      <c r="B56" s="25"/>
      <c r="C56" s="25"/>
      <c r="D56" s="4" t="str">
        <f t="shared" si="27"/>
        <v xml:space="preserve"> </v>
      </c>
      <c r="E56" s="4" t="str">
        <f t="shared" si="28"/>
        <v xml:space="preserve"> </v>
      </c>
      <c r="F56" s="4" t="str">
        <f t="shared" si="29"/>
        <v xml:space="preserve"> </v>
      </c>
      <c r="G56" s="4" t="str">
        <f t="shared" si="30"/>
        <v xml:space="preserve"> </v>
      </c>
      <c r="H56" s="4" t="str">
        <f t="shared" si="31"/>
        <v xml:space="preserve"> </v>
      </c>
      <c r="I56" s="4"/>
      <c r="J56" s="4"/>
      <c r="K56" s="4" t="str">
        <f t="shared" si="32"/>
        <v xml:space="preserve"> </v>
      </c>
      <c r="L56" s="4" t="str">
        <f t="shared" si="33"/>
        <v xml:space="preserve"> </v>
      </c>
      <c r="M56" s="4" t="str">
        <f t="shared" si="34"/>
        <v xml:space="preserve"> </v>
      </c>
      <c r="N56" s="4" t="str">
        <f t="shared" si="35"/>
        <v xml:space="preserve"> </v>
      </c>
      <c r="O56" s="4"/>
      <c r="P56" s="4"/>
      <c r="Q56" s="4"/>
      <c r="R56" s="4"/>
      <c r="S56" s="4"/>
      <c r="T56" s="4"/>
      <c r="U56" s="4"/>
      <c r="V56" s="4"/>
      <c r="W56" s="5"/>
    </row>
    <row r="57" spans="1:23">
      <c r="A57" s="3">
        <v>20</v>
      </c>
      <c r="B57" s="25"/>
      <c r="C57" s="25"/>
      <c r="D57" s="4" t="str">
        <f t="shared" si="27"/>
        <v xml:space="preserve"> </v>
      </c>
      <c r="E57" s="4" t="str">
        <f t="shared" si="28"/>
        <v xml:space="preserve"> </v>
      </c>
      <c r="F57" s="4" t="str">
        <f t="shared" si="29"/>
        <v xml:space="preserve"> </v>
      </c>
      <c r="G57" s="4" t="str">
        <f t="shared" si="30"/>
        <v xml:space="preserve"> </v>
      </c>
      <c r="H57" s="4" t="str">
        <f t="shared" si="31"/>
        <v xml:space="preserve"> </v>
      </c>
      <c r="I57" s="4"/>
      <c r="J57" s="4"/>
      <c r="K57" s="4" t="str">
        <f t="shared" si="32"/>
        <v xml:space="preserve"> </v>
      </c>
      <c r="L57" s="4" t="str">
        <f t="shared" si="33"/>
        <v xml:space="preserve"> </v>
      </c>
      <c r="M57" s="4" t="str">
        <f t="shared" si="34"/>
        <v xml:space="preserve"> </v>
      </c>
      <c r="N57" s="4" t="str">
        <f t="shared" si="35"/>
        <v xml:space="preserve"> </v>
      </c>
      <c r="O57" s="4"/>
      <c r="P57" s="4"/>
      <c r="Q57" s="4"/>
      <c r="R57" s="4"/>
      <c r="S57" s="4"/>
      <c r="T57" s="4"/>
      <c r="U57" s="4"/>
      <c r="V57" s="4"/>
      <c r="W57" s="5"/>
    </row>
    <row r="58" spans="1:23">
      <c r="A58" s="3">
        <v>21</v>
      </c>
      <c r="B58" s="25"/>
      <c r="C58" s="25"/>
      <c r="D58" s="4" t="str">
        <f t="shared" si="27"/>
        <v xml:space="preserve"> </v>
      </c>
      <c r="E58" s="4" t="str">
        <f t="shared" si="28"/>
        <v xml:space="preserve"> </v>
      </c>
      <c r="F58" s="4" t="str">
        <f t="shared" si="29"/>
        <v xml:space="preserve"> </v>
      </c>
      <c r="G58" s="4" t="str">
        <f t="shared" si="30"/>
        <v xml:space="preserve"> </v>
      </c>
      <c r="H58" s="4" t="str">
        <f t="shared" si="31"/>
        <v xml:space="preserve"> </v>
      </c>
      <c r="I58" s="4"/>
      <c r="J58" s="4"/>
      <c r="K58" s="4" t="str">
        <f t="shared" si="32"/>
        <v xml:space="preserve"> </v>
      </c>
      <c r="L58" s="4" t="str">
        <f t="shared" si="33"/>
        <v xml:space="preserve"> </v>
      </c>
      <c r="M58" s="4" t="str">
        <f t="shared" si="34"/>
        <v xml:space="preserve"> </v>
      </c>
      <c r="N58" s="4" t="str">
        <f t="shared" si="35"/>
        <v xml:space="preserve"> </v>
      </c>
      <c r="O58" s="4"/>
      <c r="P58" s="4"/>
      <c r="Q58" s="4"/>
      <c r="R58" s="4"/>
      <c r="S58" s="4"/>
      <c r="T58" s="4"/>
      <c r="U58" s="4"/>
      <c r="V58" s="4"/>
      <c r="W58" s="5"/>
    </row>
    <row r="59" spans="1:23">
      <c r="A59" s="3">
        <v>22</v>
      </c>
      <c r="B59" s="25"/>
      <c r="C59" s="25"/>
      <c r="D59" s="4" t="str">
        <f t="shared" si="18"/>
        <v xml:space="preserve"> </v>
      </c>
      <c r="E59" s="4" t="str">
        <f t="shared" si="19"/>
        <v xml:space="preserve"> </v>
      </c>
      <c r="F59" s="4" t="str">
        <f t="shared" si="20"/>
        <v xml:space="preserve"> </v>
      </c>
      <c r="G59" s="4" t="str">
        <f t="shared" si="21"/>
        <v xml:space="preserve"> </v>
      </c>
      <c r="H59" s="4" t="str">
        <f t="shared" si="22"/>
        <v xml:space="preserve"> </v>
      </c>
      <c r="I59" s="4"/>
      <c r="J59" s="4"/>
      <c r="K59" s="4" t="str">
        <f t="shared" si="23"/>
        <v xml:space="preserve"> </v>
      </c>
      <c r="L59" s="4" t="str">
        <f t="shared" si="24"/>
        <v xml:space="preserve"> </v>
      </c>
      <c r="M59" s="4" t="str">
        <f t="shared" si="25"/>
        <v xml:space="preserve"> </v>
      </c>
      <c r="N59" s="4" t="str">
        <f t="shared" si="26"/>
        <v xml:space="preserve"> </v>
      </c>
      <c r="O59" s="4"/>
      <c r="P59" s="4"/>
      <c r="Q59" s="4"/>
      <c r="R59" s="4"/>
      <c r="S59" s="4"/>
      <c r="T59" s="4"/>
      <c r="U59" s="4"/>
      <c r="V59" s="4"/>
      <c r="W59" s="5"/>
    </row>
    <row r="60" spans="1:23">
      <c r="A60" s="3">
        <v>23</v>
      </c>
      <c r="B60" s="25"/>
      <c r="C60" s="25"/>
      <c r="D60" s="4" t="str">
        <f t="shared" si="18"/>
        <v xml:space="preserve"> </v>
      </c>
      <c r="E60" s="4" t="str">
        <f t="shared" si="19"/>
        <v xml:space="preserve"> </v>
      </c>
      <c r="F60" s="4" t="str">
        <f t="shared" si="20"/>
        <v xml:space="preserve"> </v>
      </c>
      <c r="G60" s="4" t="str">
        <f t="shared" si="21"/>
        <v xml:space="preserve"> </v>
      </c>
      <c r="H60" s="4" t="str">
        <f t="shared" si="22"/>
        <v xml:space="preserve"> </v>
      </c>
      <c r="I60" s="4"/>
      <c r="J60" s="4"/>
      <c r="K60" s="4" t="str">
        <f t="shared" si="23"/>
        <v xml:space="preserve"> </v>
      </c>
      <c r="L60" s="4" t="str">
        <f t="shared" si="24"/>
        <v xml:space="preserve"> </v>
      </c>
      <c r="M60" s="4" t="str">
        <f t="shared" si="25"/>
        <v xml:space="preserve"> </v>
      </c>
      <c r="N60" s="4" t="str">
        <f t="shared" si="26"/>
        <v xml:space="preserve"> </v>
      </c>
      <c r="O60" s="4"/>
      <c r="P60" s="4"/>
      <c r="Q60" s="4"/>
      <c r="R60" s="4"/>
      <c r="S60" s="4"/>
      <c r="T60" s="4"/>
      <c r="U60" s="4"/>
      <c r="V60" s="4"/>
      <c r="W60" s="5"/>
    </row>
    <row r="61" spans="1:23" ht="15.75" thickBot="1">
      <c r="A61" s="6">
        <v>24</v>
      </c>
      <c r="B61" s="26"/>
      <c r="C61" s="26"/>
      <c r="D61" s="7" t="str">
        <f t="shared" si="18"/>
        <v xml:space="preserve"> </v>
      </c>
      <c r="E61" s="7" t="str">
        <f t="shared" si="19"/>
        <v xml:space="preserve"> </v>
      </c>
      <c r="F61" s="7" t="str">
        <f t="shared" si="20"/>
        <v xml:space="preserve"> </v>
      </c>
      <c r="G61" s="7" t="str">
        <f t="shared" si="21"/>
        <v xml:space="preserve"> </v>
      </c>
      <c r="H61" s="7" t="str">
        <f t="shared" si="22"/>
        <v xml:space="preserve"> </v>
      </c>
      <c r="I61" s="7"/>
      <c r="J61" s="7"/>
      <c r="K61" s="7" t="str">
        <f t="shared" si="23"/>
        <v xml:space="preserve"> </v>
      </c>
      <c r="L61" s="7" t="str">
        <f t="shared" si="24"/>
        <v xml:space="preserve"> </v>
      </c>
      <c r="M61" s="7" t="str">
        <f t="shared" si="25"/>
        <v xml:space="preserve"> </v>
      </c>
      <c r="N61" s="7" t="str">
        <f t="shared" si="26"/>
        <v xml:space="preserve"> </v>
      </c>
      <c r="O61" s="7"/>
      <c r="P61" s="7"/>
      <c r="Q61" s="7"/>
      <c r="R61" s="7"/>
      <c r="S61" s="7"/>
      <c r="T61" s="7"/>
      <c r="U61" s="7"/>
      <c r="V61" s="7"/>
      <c r="W61" s="8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</sheetData>
  <mergeCells count="5">
    <mergeCell ref="A36:W36"/>
    <mergeCell ref="A10:W10"/>
    <mergeCell ref="B1:W1"/>
    <mergeCell ref="B5:B6"/>
    <mergeCell ref="I2:J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Итог</vt:lpstr>
      <vt:lpstr>условия пусков</vt:lpstr>
      <vt:lpstr>240-6</vt:lpstr>
      <vt:lpstr>240-7__4 ркеты</vt:lpstr>
      <vt:lpstr>240-8</vt:lpstr>
      <vt:lpstr>240-9</vt:lpstr>
      <vt:lpstr>241-1</vt:lpstr>
      <vt:lpstr>241-2__6 ракет</vt:lpstr>
      <vt:lpstr>242-1</vt:lpstr>
      <vt:lpstr>242-2</vt:lpstr>
      <vt:lpstr>242-3</vt:lpstr>
      <vt:lpstr>243-1  </vt:lpstr>
      <vt:lpstr>243-2</vt:lpstr>
      <vt:lpstr>243-3 </vt:lpstr>
      <vt:lpstr>243-4</vt:lpstr>
      <vt:lpstr>шаблон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2026-08-10T12:16:22Z</dcterms:modified>
</cp:coreProperties>
</file>